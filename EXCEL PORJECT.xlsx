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D:\GIHUB-all-projects\HR project\HR Dashboard_ Excel\"/>
    </mc:Choice>
  </mc:AlternateContent>
  <xr:revisionPtr revIDLastSave="0" documentId="13_ncr:1_{4E05DDC5-4B37-4675-959F-A5600067AAA4}" xr6:coauthVersionLast="47" xr6:coauthVersionMax="47" xr10:uidLastSave="{00000000-0000-0000-0000-000000000000}"/>
  <bookViews>
    <workbookView xWindow="-120" yWindow="-120" windowWidth="20730" windowHeight="11160" firstSheet="6" activeTab="9" xr2:uid="{00000000-000D-0000-FFFF-FFFF00000000}"/>
  </bookViews>
  <sheets>
    <sheet name="KPI" sheetId="7" r:id="rId1"/>
    <sheet name="Rating" sheetId="8" r:id="rId2"/>
    <sheet name="Gender" sheetId="9" r:id="rId3"/>
    <sheet name="Education By Attrition" sheetId="10" r:id="rId4"/>
    <sheet name="Job By Attrition " sheetId="11" r:id="rId5"/>
    <sheet name="Deparment Wise Attrition" sheetId="12" r:id="rId6"/>
    <sheet name="Attrition By Age" sheetId="13" r:id="rId7"/>
    <sheet name="Martial Status" sheetId="14" r:id="rId8"/>
    <sheet name="Data" sheetId="1" r:id="rId9"/>
    <sheet name="DashBoard" sheetId="5" r:id="rId10"/>
  </sheets>
  <definedNames>
    <definedName name="_xlchart.v1.0" hidden="1">'Job By Attrition '!$D$5:$D$12</definedName>
    <definedName name="_xlchart.v1.1" hidden="1">'Job By Attrition '!$E$4</definedName>
    <definedName name="_xlchart.v1.10" hidden="1">'Martial Status'!$D$4:$D$6</definedName>
    <definedName name="_xlchart.v1.11" hidden="1">'Martial Status'!$E$4:$E$6</definedName>
    <definedName name="_xlchart.v1.12" hidden="1">'Job By Attrition '!$D$5:$D$12</definedName>
    <definedName name="_xlchart.v1.13" hidden="1">'Job By Attrition '!$E$4</definedName>
    <definedName name="_xlchart.v1.14" hidden="1">'Job By Attrition '!$E$5:$E$12</definedName>
    <definedName name="_xlchart.v1.2" hidden="1">'Job By Attrition '!$E$5:$E$12</definedName>
    <definedName name="_xlchart.v1.3" hidden="1">'Job By Attrition '!$D$5:$D$12</definedName>
    <definedName name="_xlchart.v1.4" hidden="1">'Job By Attrition '!$E$4</definedName>
    <definedName name="_xlchart.v1.5" hidden="1">'Job By Attrition '!$E$5:$E$12</definedName>
    <definedName name="_xlchart.v1.6" hidden="1">'Martial Status'!$D$4:$D$6</definedName>
    <definedName name="_xlchart.v1.7" hidden="1">'Martial Status'!$E$4:$E$6</definedName>
    <definedName name="_xlchart.v1.8" hidden="1">'Martial Status'!$D$4:$D$6</definedName>
    <definedName name="_xlchart.v1.9" hidden="1">'Martial Status'!$E$4:$E$6</definedName>
    <definedName name="Slicer_Department">#N/A</definedName>
    <definedName name="Slicer_Education_Field2">#N/A</definedName>
    <definedName name="Slicer_Gender2">#N/A</definedName>
  </definedNames>
  <calcPr calcId="181029"/>
  <pivotCaches>
    <pivotCache cacheId="1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14" l="1"/>
  <c r="D5" i="14"/>
  <c r="D6" i="14"/>
  <c r="D5" i="11"/>
  <c r="D6" i="11"/>
  <c r="D7" i="11"/>
  <c r="D8" i="11"/>
  <c r="D9" i="11"/>
  <c r="D10" i="11"/>
  <c r="D11" i="11"/>
  <c r="D12" i="11"/>
  <c r="D4" i="11"/>
  <c r="C8" i="7"/>
  <c r="B8" i="7"/>
  <c r="B8" i="8"/>
  <c r="A8" i="7"/>
  <c r="E5" i="14"/>
  <c r="E6" i="14"/>
  <c r="E4" i="14"/>
  <c r="E5" i="11"/>
  <c r="E9" i="11"/>
  <c r="E11" i="11"/>
  <c r="E8" i="11"/>
  <c r="E6" i="11"/>
  <c r="E10" i="11"/>
  <c r="E7" i="11"/>
  <c r="E12" i="11"/>
  <c r="B10" i="9"/>
  <c r="B11" i="9"/>
  <c r="E8" i="7" l="1"/>
  <c r="C11" i="9"/>
  <c r="C10" i="9"/>
  <c r="B9" i="8"/>
  <c r="C9" i="8" s="1"/>
  <c r="C8" i="8"/>
  <c r="D8" i="7"/>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<sst xmlns="http://schemas.openxmlformats.org/spreadsheetml/2006/main" count="19217" uniqueCount="1571">
  <si>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</si>
  <si>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</si>
  <si>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</si>
  <si>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</si>
  <si>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</si>
  <si>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</si>
  <si>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</si>
  <si>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</si>
  <si>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</si>
  <si>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</si>
  <si>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</si>
  <si>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</si>
  <si>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</si>
  <si>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</si>
  <si>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</si>
  <si>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</si>
  <si>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</si>
  <si>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</si>
  <si>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</si>
  <si>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</si>
  <si>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</si>
  <si>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</si>
  <si>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</si>
  <si>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</si>
  <si>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</si>
  <si>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</si>
  <si>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</si>
  <si>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</si>
  <si>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</si>
  <si>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</si>
  <si>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</si>
  <si>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</si>
  <si>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</si>
  <si>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</si>
  <si>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</si>
  <si>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</si>
  <si>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</si>
  <si>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</si>
  <si>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</si>
  <si>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</si>
  <si>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</si>
  <si>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</si>
  <si>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</si>
  <si>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</si>
  <si>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</si>
  <si>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</si>
  <si>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</si>
  <si>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</si>
  <si>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</si>
  <si>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</si>
  <si>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</si>
  <si>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</si>
  <si>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</si>
  <si>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</si>
  <si>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</si>
  <si>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</si>
  <si>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</si>
  <si>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</si>
  <si>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</si>
  <si>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</si>
  <si>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</si>
  <si>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</si>
  <si>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</si>
  <si>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</si>
  <si>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</si>
  <si>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</si>
  <si>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</si>
  <si>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</si>
  <si>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</si>
  <si>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</si>
  <si>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</si>
  <si>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</si>
  <si>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</si>
  <si>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</si>
  <si>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</si>
  <si>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</si>
  <si>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</si>
  <si>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</si>
  <si>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</si>
  <si>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</si>
  <si>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</si>
  <si>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</si>
  <si>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</si>
  <si>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</si>
  <si>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</si>
  <si>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</si>
  <si>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</si>
  <si>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</si>
  <si>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</si>
  <si>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</si>
  <si>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</si>
  <si>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</si>
  <si>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</si>
  <si>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</si>
  <si>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</si>
  <si>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</si>
  <si>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</si>
  <si>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</si>
  <si>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</si>
  <si>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</si>
  <si>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</si>
  <si>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</si>
  <si>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</si>
  <si>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</si>
  <si>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</si>
  <si>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</si>
  <si>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</si>
  <si>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</si>
  <si>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</si>
  <si>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</si>
  <si>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</si>
  <si>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</si>
  <si>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</si>
  <si>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</si>
  <si>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</si>
  <si>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</si>
  <si>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</si>
  <si>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</si>
  <si>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</si>
  <si>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</si>
  <si>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</si>
  <si>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</si>
  <si>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</si>
  <si>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</si>
  <si>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</si>
  <si>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</si>
  <si>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</si>
  <si>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</si>
  <si>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</si>
  <si>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</si>
  <si>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</si>
  <si>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</si>
  <si>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</si>
  <si>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</si>
  <si>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</si>
  <si>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</si>
  <si>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</si>
  <si>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</si>
  <si>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</si>
  <si>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</si>
  <si>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</si>
  <si>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</si>
  <si>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</si>
  <si>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</si>
  <si>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</si>
  <si>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</si>
  <si>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</si>
  <si>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</si>
  <si>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</si>
  <si>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</si>
  <si>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</si>
  <si>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</si>
  <si>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</si>
  <si>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</si>
  <si>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</si>
  <si>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</si>
  <si>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</si>
  <si>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</si>
  <si>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</si>
  <si>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</si>
  <si>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</si>
  <si>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</si>
  <si>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</si>
  <si>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</si>
  <si>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</si>
  <si>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</si>
  <si>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</si>
  <si>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</si>
  <si>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</si>
  <si>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</si>
  <si>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</si>
  <si>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</si>
  <si>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</si>
  <si>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</si>
  <si>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</si>
  <si>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</si>
  <si>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</si>
  <si>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</si>
  <si>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</si>
  <si>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</si>
  <si>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</si>
  <si>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</si>
  <si>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</si>
  <si>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</si>
  <si>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</si>
  <si>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</si>
  <si>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</si>
  <si>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</si>
  <si>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</si>
  <si>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</si>
  <si>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</si>
  <si>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</si>
  <si>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</si>
  <si>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</si>
  <si>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</si>
  <si>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</si>
  <si>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</si>
  <si>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</si>
  <si>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</si>
  <si>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</si>
  <si>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</si>
  <si>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</si>
  <si>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</si>
  <si>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</si>
  <si>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</si>
  <si>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</si>
  <si>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</si>
  <si>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</si>
  <si>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</si>
  <si>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</si>
  <si>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</si>
  <si>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</si>
  <si>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</si>
  <si>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</si>
  <si>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</si>
  <si>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</si>
  <si>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</si>
  <si>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</si>
  <si>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</si>
  <si>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</si>
  <si>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</si>
  <si>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</si>
  <si>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</si>
  <si>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</si>
  <si>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</si>
  <si>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</si>
  <si>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</si>
  <si>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</si>
  <si>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</si>
  <si>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</si>
  <si>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</si>
  <si>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</si>
  <si>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</si>
  <si>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</si>
  <si>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</si>
  <si>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</si>
  <si>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</si>
  <si>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</si>
  <si>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</si>
  <si>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</si>
  <si>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</si>
  <si>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</si>
  <si>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</si>
  <si>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</si>
  <si>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</si>
  <si>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</si>
  <si>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</si>
  <si>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</si>
  <si>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</si>
  <si>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</si>
  <si>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</si>
  <si>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</si>
  <si>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</si>
  <si>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</si>
  <si>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</si>
  <si>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</si>
  <si>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</si>
  <si>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</si>
  <si>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</si>
  <si>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</si>
  <si>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</si>
  <si>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</si>
  <si>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</si>
  <si>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</si>
  <si>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</si>
  <si>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</si>
  <si>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</si>
  <si>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</si>
  <si>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</si>
  <si>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</si>
  <si>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</si>
  <si>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</si>
  <si>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</si>
  <si>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</si>
  <si>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</si>
  <si>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</si>
  <si>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</si>
  <si>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</si>
  <si>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</si>
  <si>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</si>
  <si>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</si>
  <si>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</si>
  <si>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</si>
  <si>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</si>
  <si>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</si>
  <si>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</si>
  <si>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</si>
  <si>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</si>
  <si>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</si>
  <si>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</si>
  <si>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</si>
  <si>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</si>
  <si>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</si>
  <si>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</si>
  <si>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</si>
  <si>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</si>
  <si>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</si>
  <si>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</si>
  <si>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</si>
  <si>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</si>
  <si>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</si>
  <si>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</si>
  <si>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</si>
  <si>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</si>
  <si>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</si>
  <si>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</si>
  <si>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</si>
  <si>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</si>
  <si>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</si>
  <si>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</si>
  <si>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</si>
  <si>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</si>
  <si>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</si>
  <si>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</si>
  <si>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</si>
  <si>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</si>
  <si>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</si>
  <si>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</si>
  <si>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</si>
  <si>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</si>
  <si>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</si>
  <si>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</si>
  <si>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</si>
  <si>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</si>
  <si>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</si>
  <si>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</si>
  <si>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</si>
  <si>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</si>
  <si>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</si>
  <si>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</si>
  <si>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</si>
  <si>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</si>
  <si>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</si>
  <si>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</si>
  <si>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</si>
  <si>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</si>
  <si>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</si>
  <si>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</si>
  <si>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</si>
  <si>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</si>
  <si>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</si>
  <si>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</si>
  <si>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</si>
  <si>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</si>
  <si>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</si>
  <si>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</si>
  <si>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</si>
  <si>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</si>
  <si>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</si>
  <si>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</si>
  <si>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</si>
  <si>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</si>
  <si>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</si>
  <si>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</si>
  <si>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</si>
  <si>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</si>
  <si>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</si>
  <si>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</si>
  <si>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</si>
  <si>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</si>
  <si>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</si>
  <si>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</si>
  <si>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</si>
  <si>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</si>
  <si>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</si>
  <si>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</si>
  <si>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</si>
  <si>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</si>
  <si>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</si>
  <si>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</si>
  <si>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</si>
  <si>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</si>
  <si>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</si>
  <si>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</si>
  <si>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</si>
  <si>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</si>
  <si>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</si>
  <si>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</si>
  <si>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</si>
  <si>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</si>
  <si>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</si>
  <si>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</si>
  <si>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</si>
  <si>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</si>
  <si>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</si>
  <si>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</si>
  <si>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</si>
  <si>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</si>
  <si>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</si>
  <si>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</si>
  <si>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</si>
  <si>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</si>
  <si>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</si>
  <si>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</si>
  <si>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</si>
  <si>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</si>
  <si>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</si>
  <si>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</si>
  <si>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</si>
  <si>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</si>
  <si>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</si>
  <si>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</si>
  <si>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</si>
  <si>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</si>
  <si>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</si>
  <si>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</si>
  <si>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</si>
  <si>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</si>
  <si>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</si>
  <si>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</si>
  <si>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</si>
  <si>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</si>
  <si>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</si>
  <si>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</si>
  <si>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</si>
  <si>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</si>
  <si>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</si>
  <si>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</si>
  <si>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</si>
  <si>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</si>
  <si>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</si>
  <si>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</si>
  <si>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</si>
  <si>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</si>
  <si>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</si>
  <si>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</si>
  <si>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</si>
  <si>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</si>
  <si>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</si>
  <si>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</si>
  <si>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</si>
  <si>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</si>
  <si>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</si>
  <si>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</si>
  <si>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</si>
  <si>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</si>
  <si>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</si>
  <si>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</si>
  <si>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</si>
  <si>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</si>
  <si>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</si>
  <si>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</si>
  <si>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</si>
  <si>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</si>
  <si>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</si>
  <si>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</si>
  <si>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</si>
  <si>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</si>
  <si>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</si>
  <si>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</si>
  <si>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</si>
  <si>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</si>
  <si>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</si>
  <si>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</si>
  <si>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</si>
  <si>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</si>
  <si>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</si>
  <si>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</si>
  <si>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</si>
  <si>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</si>
  <si>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</si>
  <si>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</si>
  <si>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</si>
  <si>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</si>
  <si>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</si>
  <si>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</si>
  <si>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</si>
  <si>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</si>
  <si>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</si>
  <si>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</si>
  <si>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</si>
  <si>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</si>
  <si>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</si>
  <si>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</si>
  <si>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</si>
  <si>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</si>
  <si>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</si>
  <si>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</si>
  <si>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</si>
  <si>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</si>
  <si>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</si>
  <si>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</si>
  <si>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</si>
  <si>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</si>
  <si>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</si>
  <si>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</si>
  <si>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</si>
  <si>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</si>
  <si>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</si>
  <si>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</si>
  <si>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</si>
  <si>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</si>
  <si>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</si>
  <si>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</si>
  <si>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</si>
  <si>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</si>
  <si>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</si>
  <si>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</si>
  <si>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</si>
  <si>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</si>
  <si>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</si>
  <si>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</si>
  <si>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</si>
  <si>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</si>
  <si>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</si>
  <si>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</si>
  <si>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</si>
  <si>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</si>
  <si>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</si>
  <si>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</si>
  <si>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</si>
  <si>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</si>
  <si>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</si>
  <si>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</si>
  <si>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</si>
  <si>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</si>
  <si>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</si>
  <si>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</si>
  <si>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</si>
  <si>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</si>
  <si>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</si>
  <si>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</si>
  <si>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</si>
  <si>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</si>
  <si>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</si>
  <si>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</si>
  <si>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</si>
  <si>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</si>
  <si>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</si>
  <si>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</si>
  <si>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</si>
  <si>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</si>
  <si>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</si>
  <si>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</si>
  <si>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</si>
  <si>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</si>
  <si>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</si>
  <si>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</si>
  <si>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</si>
  <si>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</si>
  <si>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</si>
  <si>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</si>
  <si>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</si>
  <si>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</si>
  <si>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</si>
  <si>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</si>
  <si>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</si>
  <si>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</si>
  <si>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</si>
  <si>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</si>
  <si>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</si>
  <si>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</si>
  <si>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</si>
  <si>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</si>
  <si>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</si>
  <si>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</si>
  <si>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</si>
  <si>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</si>
  <si>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</si>
  <si>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</si>
  <si>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</si>
  <si>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</si>
  <si>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</si>
  <si>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</si>
  <si>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</si>
  <si>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</si>
  <si>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</si>
  <si>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</si>
  <si>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</si>
  <si>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</si>
  <si>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</si>
  <si>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</si>
  <si>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</si>
  <si>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</si>
  <si>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</si>
  <si>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</si>
  <si>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</si>
  <si>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</si>
  <si>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</si>
  <si>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</si>
  <si>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</si>
  <si>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</si>
  <si>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</si>
  <si>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</si>
  <si>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</si>
  <si>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</si>
  <si>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</si>
  <si>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</si>
  <si>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</si>
  <si>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</si>
  <si>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</si>
  <si>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</si>
  <si>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</si>
  <si>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</si>
  <si>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</si>
  <si>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</si>
  <si>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</si>
  <si>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</si>
  <si>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</si>
  <si>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</si>
  <si>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</si>
  <si>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</si>
  <si>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</si>
  <si>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</si>
  <si>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</si>
  <si>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</si>
  <si>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</si>
  <si>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</si>
  <si>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</si>
  <si>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</si>
  <si>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</si>
  <si>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</si>
  <si>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</si>
  <si>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</si>
  <si>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</si>
  <si>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</si>
  <si>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</si>
  <si>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</si>
  <si>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</si>
  <si>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</si>
  <si>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</si>
  <si>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</si>
  <si>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</si>
  <si>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</si>
  <si>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</si>
  <si>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</si>
  <si>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</si>
  <si>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</si>
  <si>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</si>
  <si>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</si>
  <si>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</si>
  <si>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</si>
  <si>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</si>
  <si>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</si>
  <si>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</si>
  <si>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</si>
  <si>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</si>
  <si>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</si>
  <si>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</si>
  <si>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</si>
  <si>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</si>
  <si>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</si>
  <si>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</si>
  <si>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</si>
  <si>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</si>
  <si>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</si>
  <si>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</si>
  <si>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</si>
  <si>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</si>
  <si>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</si>
  <si>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</si>
  <si>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</si>
  <si>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</si>
  <si>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</si>
  <si>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</si>
  <si>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</si>
  <si>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</si>
  <si>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</si>
  <si>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</si>
  <si>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</si>
  <si>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</si>
  <si>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</si>
  <si>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</si>
  <si>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</si>
  <si>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</si>
  <si>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</si>
  <si>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</si>
  <si>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</si>
  <si>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</si>
  <si>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</si>
  <si>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</si>
  <si>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</si>
  <si>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</si>
  <si>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</si>
  <si>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</si>
  <si>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</si>
  <si>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</si>
  <si>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</si>
  <si>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</si>
  <si>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</si>
  <si>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</si>
  <si>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</si>
  <si>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</si>
  <si>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</si>
  <si>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</si>
  <si>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</si>
  <si>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</si>
  <si>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</si>
  <si>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</si>
  <si>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</si>
  <si>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</si>
  <si>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</si>
  <si>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</si>
  <si>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</si>
  <si>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</si>
  <si>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</si>
  <si>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</si>
  <si>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</si>
  <si>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</si>
  <si>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</si>
  <si>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</si>
  <si>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</si>
  <si>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</si>
  <si>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</si>
  <si>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</si>
  <si>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</si>
  <si>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</si>
  <si>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</si>
  <si>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</si>
  <si>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</si>
  <si>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</si>
  <si>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</si>
  <si>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</si>
  <si>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</si>
  <si>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</si>
  <si>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</si>
  <si>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</si>
  <si>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</si>
  <si>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</si>
  <si>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</si>
  <si>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</si>
  <si>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</si>
  <si>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</si>
  <si>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</si>
  <si>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</si>
  <si>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</si>
  <si>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</si>
  <si>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</si>
  <si>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</si>
  <si>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</si>
  <si>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</si>
  <si>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</si>
  <si>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</si>
  <si>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</si>
  <si>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</si>
  <si>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</si>
  <si>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</si>
  <si>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</si>
  <si>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</si>
  <si>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</si>
  <si>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</si>
  <si>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</si>
  <si>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</si>
  <si>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</si>
  <si>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</si>
  <si>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</si>
  <si>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</si>
  <si>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</si>
  <si>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</si>
  <si>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</si>
  <si>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</si>
  <si>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</si>
  <si>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</si>
  <si>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</si>
  <si>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</si>
  <si>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</si>
  <si>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</si>
  <si>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</si>
  <si>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</si>
  <si>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</si>
  <si>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</si>
  <si>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</si>
  <si>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</si>
  <si>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</si>
  <si>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</si>
  <si>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</si>
  <si>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</si>
  <si>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</si>
  <si>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</si>
  <si>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</si>
  <si>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</si>
  <si>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</si>
  <si>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</si>
  <si>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</si>
  <si>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</si>
  <si>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</si>
  <si>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</si>
  <si>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</si>
  <si>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</si>
  <si>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</si>
  <si>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</si>
  <si>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</si>
  <si>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</si>
  <si>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</si>
  <si>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</si>
  <si>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</si>
  <si>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</si>
  <si>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</si>
  <si>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</si>
  <si>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</si>
  <si>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</si>
  <si>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</si>
  <si>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</si>
  <si>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</si>
  <si>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</si>
  <si>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</si>
  <si>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</si>
  <si>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</si>
  <si>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</si>
  <si>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</si>
  <si>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</si>
  <si>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</si>
  <si>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</si>
  <si>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</si>
  <si>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</si>
  <si>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</si>
  <si>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</si>
  <si>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</si>
  <si>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</si>
  <si>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</si>
  <si>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</si>
  <si>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</si>
  <si>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</si>
  <si>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</si>
  <si>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</si>
  <si>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</si>
  <si>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</si>
  <si>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</si>
  <si>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</si>
  <si>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</si>
  <si>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</si>
  <si>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</si>
  <si>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</si>
  <si>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</si>
  <si>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</si>
  <si>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</si>
  <si>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</si>
  <si>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</si>
  <si>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</si>
  <si>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</si>
  <si>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</si>
  <si>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</si>
  <si>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</si>
  <si>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</si>
  <si>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</si>
  <si>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</si>
  <si>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</si>
  <si>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</si>
  <si>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</si>
  <si>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</si>
  <si>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</si>
  <si>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</si>
  <si>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</si>
  <si>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</si>
  <si>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</si>
  <si>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</si>
  <si>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</si>
  <si>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</si>
  <si>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</si>
  <si>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</si>
  <si>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</si>
  <si>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</si>
  <si>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</si>
  <si>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</si>
  <si>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</si>
  <si>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</si>
  <si>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</si>
  <si>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</si>
  <si>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</si>
  <si>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</si>
  <si>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</si>
  <si>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</si>
  <si>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</si>
  <si>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</si>
  <si>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</si>
  <si>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</si>
  <si>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</si>
  <si>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</si>
  <si>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</si>
  <si>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</si>
  <si>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</si>
  <si>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</si>
  <si>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</si>
  <si>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</si>
  <si>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</si>
  <si>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</si>
  <si>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</si>
  <si>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</si>
  <si>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</si>
  <si>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</si>
  <si>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</si>
  <si>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</si>
  <si>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</si>
  <si>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</si>
  <si>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</si>
  <si>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</si>
  <si>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</si>
  <si>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</si>
  <si>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</si>
  <si>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</si>
  <si>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</si>
  <si>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</si>
  <si>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</si>
  <si>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</si>
  <si>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</si>
  <si>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</si>
  <si>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</si>
  <si>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</si>
  <si>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</si>
  <si>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</si>
  <si>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</si>
  <si>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</si>
  <si>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</si>
  <si>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</si>
  <si>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</si>
  <si>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</si>
  <si>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</si>
  <si>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</si>
  <si>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</si>
  <si>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</si>
  <si>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</si>
  <si>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</si>
  <si>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</si>
  <si>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</si>
  <si>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</si>
  <si>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</si>
  <si>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</si>
  <si>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</si>
  <si>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</si>
  <si>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</si>
  <si>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</si>
  <si>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</si>
  <si>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</si>
  <si>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</si>
  <si>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</si>
  <si>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</si>
  <si>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</si>
  <si>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</si>
  <si>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</si>
  <si>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</si>
  <si>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</si>
  <si>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</si>
  <si>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</si>
  <si>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</si>
  <si>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</si>
  <si>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</si>
  <si>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</si>
  <si>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</si>
  <si>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</si>
  <si>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</si>
  <si>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</si>
  <si>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</si>
  <si>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</si>
  <si>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</si>
  <si>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</si>
  <si>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</si>
  <si>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</si>
  <si>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</si>
  <si>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</si>
  <si>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</si>
  <si>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</si>
  <si>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</si>
  <si>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</si>
  <si>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</si>
  <si>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</si>
  <si>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</si>
  <si>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</si>
  <si>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</si>
  <si>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</si>
  <si>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</si>
  <si>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</si>
  <si>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</si>
  <si>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</si>
  <si>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</si>
  <si>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</si>
  <si>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</si>
  <si>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</si>
  <si>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</si>
  <si>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</si>
  <si>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</si>
  <si>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</si>
  <si>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</si>
  <si>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</si>
  <si>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</si>
  <si>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</si>
  <si>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</si>
  <si>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</si>
  <si>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</si>
  <si>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</si>
  <si>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</si>
  <si>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</si>
  <si>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</si>
  <si>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</si>
  <si>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</si>
  <si>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</si>
  <si>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</si>
  <si>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</si>
  <si>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</si>
  <si>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</si>
  <si>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</si>
  <si>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</si>
  <si>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</si>
  <si>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</si>
  <si>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</si>
  <si>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</si>
  <si>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</si>
  <si>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</si>
  <si>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</si>
  <si>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</si>
  <si>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</si>
  <si>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</si>
  <si>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</si>
  <si>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</si>
  <si>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</si>
  <si>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</si>
  <si>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</si>
  <si>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</si>
  <si>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</si>
  <si>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</si>
  <si>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</si>
  <si>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</si>
  <si>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</si>
  <si>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</si>
  <si>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</si>
  <si>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</si>
  <si>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</si>
  <si>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</si>
  <si>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</si>
  <si>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</si>
  <si>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</si>
  <si>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</si>
  <si>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</si>
  <si>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</si>
  <si>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</si>
  <si>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</si>
  <si>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</si>
  <si>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</si>
  <si>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</si>
  <si>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</si>
  <si>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</si>
  <si>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</si>
  <si>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</si>
  <si>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</si>
  <si>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</si>
  <si>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</si>
  <si>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</si>
  <si>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</si>
  <si>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</si>
  <si>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</si>
  <si>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</si>
  <si>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</si>
  <si>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</si>
  <si>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</si>
  <si>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</si>
  <si>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</si>
  <si>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</si>
  <si>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</si>
  <si>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</si>
  <si>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</si>
  <si>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</si>
  <si>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</si>
  <si>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</si>
  <si>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</si>
  <si>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</si>
  <si>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</si>
  <si>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</si>
  <si>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</si>
  <si>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</si>
  <si>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</si>
  <si>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</si>
  <si>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</si>
  <si>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</si>
  <si>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</si>
  <si>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</si>
  <si>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</si>
  <si>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</si>
  <si>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</si>
  <si>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</si>
  <si>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</si>
  <si>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</si>
  <si>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</si>
  <si>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</si>
  <si>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</si>
  <si>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</si>
  <si>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</si>
  <si>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</si>
  <si>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</si>
  <si>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</si>
  <si>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</si>
  <si>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</si>
  <si>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</si>
  <si>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</si>
  <si>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</si>
  <si>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</si>
  <si>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</si>
  <si>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</si>
  <si>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</si>
  <si>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</si>
  <si>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</si>
  <si>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</si>
  <si>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</si>
  <si>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</si>
  <si>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</si>
  <si>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</si>
  <si>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</si>
  <si>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</si>
  <si>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</si>
  <si>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</si>
  <si>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</si>
  <si>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</si>
  <si>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</si>
  <si>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</si>
  <si>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</si>
  <si>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</si>
  <si>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</si>
  <si>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</si>
  <si>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</si>
  <si>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</si>
  <si>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</si>
  <si>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</si>
  <si>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</si>
  <si>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</si>
  <si>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</si>
  <si>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</si>
  <si>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</si>
  <si>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</si>
  <si>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</si>
  <si>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</si>
  <si>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</si>
  <si>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</si>
  <si>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</si>
  <si>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</si>
  <si>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</si>
  <si>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</si>
  <si>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</si>
  <si>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</si>
  <si>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</si>
  <si>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</si>
  <si>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</si>
  <si>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</si>
  <si>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</si>
  <si>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</si>
  <si>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</si>
  <si>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</si>
  <si>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</si>
  <si>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</si>
  <si>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</si>
  <si>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</si>
  <si>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</si>
  <si>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</si>
  <si>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</si>
  <si>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</si>
  <si>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</si>
  <si>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</si>
  <si>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</si>
  <si>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</si>
  <si>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</si>
  <si>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</si>
  <si>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</si>
  <si>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</si>
  <si>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</si>
  <si>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</si>
  <si>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</si>
  <si>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</si>
  <si>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</si>
  <si>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</si>
  <si>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</si>
  <si>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</si>
  <si>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</si>
  <si>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</si>
  <si>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</si>
  <si>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</si>
  <si>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</si>
  <si>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</si>
  <si>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</si>
  <si>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</si>
  <si>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</si>
  <si>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</si>
  <si>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</si>
  <si>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</si>
  <si>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</si>
  <si>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</si>
  <si>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</si>
  <si>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</si>
  <si>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</si>
  <si>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</si>
  <si>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</si>
  <si>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</si>
  <si>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</si>
  <si>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</si>
  <si>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</si>
  <si>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</si>
  <si>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</si>
  <si>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</si>
  <si>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</si>
  <si>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</si>
  <si>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</si>
  <si>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</si>
  <si>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</si>
  <si>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</si>
  <si>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</si>
  <si>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</si>
  <si>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</si>
  <si>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</si>
  <si>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</si>
  <si>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</si>
  <si>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</si>
  <si>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</si>
  <si>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</si>
  <si>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</si>
  <si>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</si>
  <si>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</si>
  <si>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</si>
  <si>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</si>
  <si>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</si>
  <si>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</si>
  <si>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</si>
  <si>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</si>
  <si>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</si>
  <si>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</si>
  <si>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</si>
  <si>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</si>
  <si>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</si>
  <si>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</si>
  <si>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</si>
  <si>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</si>
  <si>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</si>
  <si>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</si>
  <si>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</si>
  <si>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</si>
  <si>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</si>
  <si>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</si>
  <si>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</si>
  <si>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</si>
  <si>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</si>
  <si>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</si>
  <si>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</si>
  <si>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</si>
  <si>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</si>
  <si>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</si>
  <si>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</si>
  <si>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</si>
  <si>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</si>
  <si>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</si>
  <si>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</si>
  <si>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</si>
  <si>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</si>
  <si>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</si>
  <si>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</si>
  <si>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</si>
  <si>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</si>
  <si>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</si>
  <si>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</si>
  <si>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</si>
  <si>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</si>
  <si>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</si>
  <si>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</si>
  <si>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</si>
  <si>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</si>
  <si>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</si>
  <si>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</si>
  <si>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</si>
  <si>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</si>
  <si>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</si>
  <si>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</si>
  <si>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</si>
  <si>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</si>
  <si>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</si>
  <si>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</si>
  <si>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</si>
  <si>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</si>
  <si>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</si>
  <si>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</si>
  <si>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</si>
  <si>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</si>
  <si>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</si>
  <si>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</si>
  <si>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</si>
  <si>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</si>
  <si>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</si>
  <si>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</si>
  <si>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</si>
  <si>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</si>
  <si>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</si>
  <si>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</si>
  <si>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</si>
  <si>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</si>
  <si>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</si>
  <si>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</si>
  <si>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</si>
  <si>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</si>
  <si>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</si>
  <si>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</si>
  <si>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</si>
  <si>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</si>
  <si>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</si>
  <si>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</si>
  <si>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</si>
  <si>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</si>
  <si>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</si>
  <si>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</si>
  <si>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</si>
  <si>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</si>
  <si>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</si>
  <si>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</si>
  <si>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</si>
  <si>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</si>
  <si>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</si>
  <si>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</si>
  <si>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</si>
  <si>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</si>
  <si>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</si>
  <si>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</si>
  <si>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</si>
  <si>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</si>
  <si>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</si>
  <si>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</si>
  <si>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</si>
  <si>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</si>
  <si>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</si>
  <si>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</si>
  <si>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</si>
  <si>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</si>
  <si>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</si>
  <si>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</si>
  <si>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</si>
  <si>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</si>
  <si>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</si>
  <si>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</si>
  <si>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</si>
  <si>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</si>
  <si>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</si>
  <si>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</si>
  <si>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</si>
  <si>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</si>
  <si>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</si>
  <si>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</si>
  <si>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</si>
  <si>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</si>
  <si>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</si>
  <si>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</si>
  <si>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</si>
  <si>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</si>
  <si>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</si>
  <si>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</si>
  <si>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</si>
  <si>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</si>
  <si>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</si>
  <si>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</si>
  <si>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</si>
  <si>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</si>
  <si>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</si>
  <si>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</si>
  <si>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</si>
  <si>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</si>
  <si>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</si>
  <si>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</si>
  <si>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</si>
  <si>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</si>
  <si>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</si>
  <si>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</si>
  <si>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</si>
  <si>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</si>
  <si>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</si>
  <si>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</si>
  <si>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</si>
  <si>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</si>
  <si>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</si>
  <si>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</si>
  <si>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</si>
  <si>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</si>
  <si>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</si>
  <si>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</si>
  <si>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</si>
  <si>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</si>
  <si>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</si>
  <si>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</si>
  <si>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</si>
  <si>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</si>
  <si>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</si>
  <si>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</si>
  <si>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</si>
  <si>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</si>
  <si>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</si>
  <si>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</si>
  <si>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</si>
  <si>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</si>
  <si>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</si>
  <si>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</si>
  <si>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</si>
  <si>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</si>
  <si>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</si>
  <si>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</si>
  <si>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</si>
  <si>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</si>
  <si>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</si>
  <si>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</si>
  <si>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</si>
  <si>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</si>
  <si>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</si>
  <si>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</si>
  <si>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</si>
  <si>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</si>
  <si>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</si>
  <si>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</si>
  <si>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</si>
  <si>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</si>
  <si>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</si>
  <si>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</si>
  <si>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</si>
  <si>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</si>
  <si>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</si>
  <si>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</si>
  <si>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</si>
  <si>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</si>
  <si>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</si>
  <si>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</si>
  <si>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</si>
  <si>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</si>
  <si>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</si>
  <si>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</si>
  <si>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</si>
  <si>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</si>
  <si>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</si>
  <si>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</si>
  <si>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</si>
  <si>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</si>
  <si>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</si>
  <si>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</si>
  <si>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</si>
  <si>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</si>
  <si>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</si>
  <si>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</si>
  <si>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</si>
  <si>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</si>
  <si>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</si>
  <si>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</si>
  <si>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</si>
  <si>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</si>
  <si>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</si>
  <si>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</si>
  <si>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</si>
  <si>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</si>
  <si>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</si>
  <si>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</si>
  <si>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</si>
  <si>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</si>
  <si>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</si>
  <si>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</si>
  <si>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</si>
  <si>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</si>
  <si>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</si>
  <si>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</si>
  <si>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</si>
  <si>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</si>
  <si>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</si>
  <si>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</si>
  <si>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</si>
  <si>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</si>
  <si>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</si>
  <si>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</si>
  <si>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</si>
  <si>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</si>
  <si>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</si>
  <si>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</si>
  <si>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</si>
  <si>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</si>
  <si>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</si>
  <si>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</si>
  <si>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</si>
  <si>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</si>
  <si>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</si>
  <si>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</si>
  <si>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</si>
  <si>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</si>
  <si>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</si>
  <si>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</si>
  <si>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</si>
  <si>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</si>
  <si>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</si>
  <si>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</si>
  <si>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</si>
  <si>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</si>
  <si>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</si>
  <si>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</si>
  <si>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</si>
  <si>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</si>
  <si>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</si>
  <si>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</si>
  <si>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</si>
  <si>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</si>
  <si>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</si>
  <si>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</si>
  <si>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</si>
  <si>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</si>
  <si>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</si>
  <si>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</si>
  <si>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</si>
  <si>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</si>
  <si>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</si>
  <si>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</si>
  <si>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</si>
  <si>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</si>
  <si>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</si>
  <si>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</si>
  <si>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</si>
  <si>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</si>
  <si>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</si>
  <si>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</si>
  <si>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</si>
  <si>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</si>
  <si>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</si>
  <si>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</si>
  <si>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</si>
  <si>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</si>
  <si>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</si>
  <si>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</si>
  <si>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</si>
  <si>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</si>
  <si>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</si>
  <si>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</si>
  <si>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</si>
  <si>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</si>
  <si>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</si>
  <si>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</si>
  <si>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</si>
  <si>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</si>
  <si>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</si>
  <si>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</si>
  <si>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</si>
  <si>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</si>
  <si>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</si>
  <si>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</si>
  <si>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</si>
  <si>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</si>
  <si>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</si>
  <si>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</si>
  <si>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</si>
  <si>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</si>
  <si>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</si>
  <si>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</si>
  <si>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</si>
  <si>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</si>
  <si>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</si>
  <si>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</si>
  <si>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</si>
  <si>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</si>
  <si>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</si>
  <si>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</si>
  <si>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</si>
  <si>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</si>
  <si>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</si>
  <si>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</si>
  <si>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</si>
  <si>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</si>
  <si>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</si>
  <si>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</si>
  <si>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</si>
  <si>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</si>
  <si>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</si>
  <si>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</si>
  <si>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</si>
  <si>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</si>
  <si>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</si>
  <si>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</si>
  <si>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Average of Age</t>
  </si>
  <si>
    <t>Count of Employee Number</t>
  </si>
  <si>
    <t>Total Employees</t>
  </si>
  <si>
    <t>Attrition count</t>
  </si>
  <si>
    <t>Average Age</t>
  </si>
  <si>
    <t>Active Employees</t>
  </si>
  <si>
    <t>Attrition Rate</t>
  </si>
  <si>
    <t>Average of Job Satisfaction</t>
  </si>
  <si>
    <t xml:space="preserve">Rating </t>
  </si>
  <si>
    <t>Balance Rating</t>
  </si>
  <si>
    <t>Row Labels</t>
  </si>
  <si>
    <t>Grand Total</t>
  </si>
  <si>
    <t>Sum of CF_attrition counts</t>
  </si>
  <si>
    <t>Attrtion</t>
  </si>
  <si>
    <t>n</t>
  </si>
  <si>
    <t>Martial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</si>
</sst>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0" tint="-0.249977111117893"/>
        <bgColor indexed="64"/>
      </patternFill>
    </fill>
  </fills>
  <borders count="7">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 fontId="0" fillId="0" borderId="0" xfId="0" applyNumberFormat="1"/>
    <xf numFmtId="10" fontId="0" fillId="0" borderId="0" xfId="0" applyNumberFormat="1"/>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NumberFormat="1"/>
    <xf numFmtId="0" fontId="0" fillId="0" borderId="3" xfId="0" applyNumberFormat="1" applyBorder="1"/>
    <xf numFmtId="0" fontId="0" fillId="0" borderId="6" xfId="0" applyNumberFormat="1" applyBorder="1"/>
    <xf numFmtId="0" fontId="0" fillId="0" borderId="4" xfId="0" applyNumberFormat="1" applyBorder="1"/>
  </cellXfs>
  <cellStyles count="2">
    <cellStyle name="Normal" xfId="0" builtinId="0"/>
    <cellStyle name="Percent" xfId="1" builtinId="5"/>
  </cellStyles>
  <dxfs count="17">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bgColor theme="0" tint="-4.9989318521683403E-2"/>
        </patternFill>
      </fill>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16"/>
      <tableStyleElement type="firstRowStripe" dxfId="15"/>
      <tableStyleElement type="secondRowStripe" dxfId="14"/>
    </tableStyle>
    <tableStyle name="Slicer" pivot="0" table="0" count="4" xr9:uid="{45CB46A2-1378-4677-875D-47D03FAFC01B}">
      <tableStyleElement type="wholeTable" dxfId="12"/>
    </tableStyle>
  </tableStyles>
  <colors>
    <mruColors>
      <color rgb="FF5F2928"/>
      <color rgb="FFE56EE8"/>
      <color rgb="FF445461"/>
    </mruColors>
  </colors>
  <extLst>
    <ext xmlns:x14="http://schemas.microsoft.com/office/spreadsheetml/2009/9/main" uri="{46F421CA-312F-682f-3DD2-61675219B42D}">
      <x14:dxfs count="6">
        <dxf>
          <fill>
            <gradientFill degree="90">
              <stop position="0">
                <color theme="1" tint="0.1490218817712943"/>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degree="90">
              <stop position="0">
                <color theme="1"/>
              </stop>
              <stop position="1">
                <color theme="0" tint="-0.49803155613879818"/>
              </stop>
            </gradientFill>
          </fill>
        </dxf>
        <dxf>
          <fill>
            <gradientFill degree="90">
              <stop position="0">
                <color theme="1"/>
              </stop>
              <stop position="1">
                <color theme="0" tint="-0.49803155613879818"/>
              </stop>
            </gradientFill>
          </fill>
        </dxf>
        <dxf>
          <fill>
            <gradientFill degree="90">
              <stop position="0">
                <color theme="1" tint="0.1490218817712943"/>
              </stop>
              <stop position="1">
                <color theme="0" tint="-0.34900967436750391"/>
              </stop>
            </gradientFill>
          </fill>
        </dxf>
        <dxf>
          <font>
            <b/>
            <i val="0"/>
            <name val="Calibri"/>
            <family val="2"/>
            <scheme val="minor"/>
          </font>
          <fill>
            <gradientFill>
              <stop position="0">
                <color theme="9" tint="-0.49803155613879818"/>
              </stop>
              <stop position="1">
                <color theme="9" tint="0.4000061037018952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800721784776904"/>
          <c:y val="0.21800925925925929"/>
          <c:w val="0.40287467191601051"/>
          <c:h val="0.671457786526684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A3-4E06-8F40-C8D2510DD5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A3-4E06-8F40-C8D2510DD542}"/>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0-3207-4C64-80A2-4EB176FC5E5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Rating!$B$8</c:f>
              <c:numCache>
                <c:formatCode>0.0</c:formatCode>
                <c:ptCount val="1"/>
                <c:pt idx="0">
                  <c:v>2.6265306122448981</c:v>
                </c:pt>
              </c:numCache>
            </c:numRef>
          </c:val>
          <c:extLst>
            <c:ext xmlns:c16="http://schemas.microsoft.com/office/drawing/2014/chart" uri="{C3380CC4-5D6E-409C-BE32-E72D297353CC}">
              <c16:uniqueId val="{00000000-FB39-4B7B-96D7-0E48361CB387}"/>
            </c:ext>
          </c:extLst>
        </c:ser>
        <c:ser>
          <c:idx val="1"/>
          <c:order val="1"/>
          <c:spPr>
            <a:solidFill>
              <a:schemeClr val="accent2"/>
            </a:solidFill>
            <a:ln>
              <a:noFill/>
            </a:ln>
            <a:effectLst/>
          </c:spPr>
          <c:invertIfNegative val="0"/>
          <c:val>
            <c:numRef>
              <c:f>Rating!$B$9</c:f>
              <c:numCache>
                <c:formatCode>0.0</c:formatCode>
                <c:ptCount val="1"/>
                <c:pt idx="0">
                  <c:v>1.3734693877551019</c:v>
                </c:pt>
              </c:numCache>
            </c:numRef>
          </c:val>
          <c:extLst>
            <c:ext xmlns:c16="http://schemas.microsoft.com/office/drawing/2014/chart" uri="{C3380CC4-5D6E-409C-BE32-E72D297353CC}">
              <c16:uniqueId val="{00000003-FB39-4B7B-96D7-0E48361CB387}"/>
            </c:ext>
          </c:extLst>
        </c:ser>
        <c:dLbls>
          <c:showLegendKey val="0"/>
          <c:showVal val="0"/>
          <c:showCatName val="0"/>
          <c:showSerName val="0"/>
          <c:showPercent val="0"/>
          <c:showBubbleSize val="0"/>
        </c:dLbls>
        <c:gapWidth val="0"/>
        <c:overlap val="100"/>
        <c:axId val="556522664"/>
        <c:axId val="556528424"/>
      </c:barChart>
      <c:catAx>
        <c:axId val="556522664"/>
        <c:scaling>
          <c:orientation val="minMax"/>
        </c:scaling>
        <c:delete val="1"/>
        <c:axPos val="l"/>
        <c:majorTickMark val="out"/>
        <c:minorTickMark val="none"/>
        <c:tickLblPos val="nextTo"/>
        <c:crossAx val="556528424"/>
        <c:crosses val="autoZero"/>
        <c:auto val="1"/>
        <c:lblAlgn val="ctr"/>
        <c:lblOffset val="100"/>
        <c:noMultiLvlLbl val="0"/>
      </c:catAx>
      <c:valAx>
        <c:axId val="556528424"/>
        <c:scaling>
          <c:orientation val="minMax"/>
          <c:max val="4"/>
        </c:scaling>
        <c:delete val="1"/>
        <c:axPos val="b"/>
        <c:numFmt formatCode="0.0" sourceLinked="1"/>
        <c:majorTickMark val="out"/>
        <c:minorTickMark val="none"/>
        <c:tickLblPos val="nextTo"/>
        <c:crossAx val="556522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85111205958445"/>
          <c:y val="0"/>
          <c:w val="0.38510434033360069"/>
          <c:h val="0.7066666666666666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E2-4FF0-A71A-2F5405993B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E2-4FF0-A71A-2F5405993BE6}"/>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E1C6-43C6-96C1-29D84FC7B0D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33333333333335"/>
          <c:y val="6.0185185185185182E-2"/>
          <c:w val="0.67222222222222228"/>
          <c:h val="0.89814814814814814"/>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E4F-4D3B-B8CF-973AC3E67A0D}"/>
            </c:ext>
          </c:extLst>
        </c:ser>
        <c:dLbls>
          <c:dLblPos val="outEnd"/>
          <c:showLegendKey val="0"/>
          <c:showVal val="1"/>
          <c:showCatName val="0"/>
          <c:showSerName val="0"/>
          <c:showPercent val="0"/>
          <c:showBubbleSize val="0"/>
        </c:dLbls>
        <c:gapWidth val="182"/>
        <c:axId val="412916728"/>
        <c:axId val="412917808"/>
      </c:barChart>
      <c:catAx>
        <c:axId val="412916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917808"/>
        <c:crosses val="autoZero"/>
        <c:auto val="1"/>
        <c:lblAlgn val="ctr"/>
        <c:lblOffset val="100"/>
        <c:noMultiLvlLbl val="0"/>
      </c:catAx>
      <c:valAx>
        <c:axId val="412917808"/>
        <c:scaling>
          <c:orientation val="minMax"/>
        </c:scaling>
        <c:delete val="1"/>
        <c:axPos val="b"/>
        <c:numFmt formatCode="General" sourceLinked="1"/>
        <c:majorTickMark val="out"/>
        <c:minorTickMark val="none"/>
        <c:tickLblPos val="nextTo"/>
        <c:crossAx val="412916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DATA_Excel(AutoRecovered).xlsx]Deparment Wise Attrition!Deparment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'Deparment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'Deparment Wise Attrition'!$A$4:$A$7</c:f>
              <c:strCache>
                <c:ptCount val="3"/>
                <c:pt idx="0">
                  <c:v>HR</c:v>
                </c:pt>
                <c:pt idx="1">
                  <c:v>R&amp;D</c:v>
                </c:pt>
                <c:pt idx="2">
                  <c:v>Sales</c:v>
                </c:pt>
              </c:strCache>
            </c:strRef>
          </c:cat>
          <c:val>
            <c:numRef>
              <c:f>'Deparment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4BA4-46B8-AD8E-6B99D4CE913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E52-44A2-8EC0-FE98C1C70040}"/>
            </c:ext>
          </c:extLst>
        </c:ser>
        <c:dLbls>
          <c:showLegendKey val="0"/>
          <c:showVal val="0"/>
          <c:showCatName val="0"/>
          <c:showSerName val="0"/>
          <c:showPercent val="0"/>
          <c:showBubbleSize val="0"/>
        </c:dLbls>
        <c:gapWidth val="219"/>
        <c:overlap val="-27"/>
        <c:axId val="409662896"/>
        <c:axId val="341777128"/>
      </c:barChart>
      <c:catAx>
        <c:axId val="409662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777128"/>
        <c:crosses val="autoZero"/>
        <c:auto val="1"/>
        <c:lblAlgn val="ctr"/>
        <c:lblOffset val="100"/>
        <c:noMultiLvlLbl val="0"/>
      </c:catAx>
      <c:valAx>
        <c:axId val="341777128"/>
        <c:scaling>
          <c:orientation val="minMax"/>
        </c:scaling>
        <c:delete val="1"/>
        <c:axPos val="l"/>
        <c:numFmt formatCode="General" sourceLinked="1"/>
        <c:majorTickMark val="out"/>
        <c:minorTickMark val="none"/>
        <c:tickLblPos val="nextTo"/>
        <c:crossAx val="4096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'Martial Status'!$D$4:$D$6</c:f>
              <c:strCache>
                <c:ptCount val="3"/>
                <c:pt idx="0">
                  <c:v>Divorced</c:v>
                </c:pt>
                <c:pt idx="1">
                  <c:v>Married</c:v>
                </c:pt>
                <c:pt idx="2">
                  <c:v>Single</c:v>
                </c:pt>
              </c:strCache>
            </c:strRef>
          </c:cat>
          <c:val>
            <c:numRef>
              <c:f>'Martial Status'!$E$4:$E$6</c:f>
              <c:numCache>
                <c:formatCode>General</c:formatCode>
                <c:ptCount val="3"/>
                <c:pt idx="0">
                  <c:v>33</c:v>
                </c:pt>
                <c:pt idx="1">
                  <c:v>84</c:v>
                </c:pt>
                <c:pt idx="2">
                  <c:v>120</c:v>
                </c:pt>
              </c:numCache>
            </c:numRef>
          </c:val>
          <c:extLst>
            <c:ext xmlns:c16="http://schemas.microsoft.com/office/drawing/2014/chart" uri="{C3380CC4-5D6E-409C-BE32-E72D297353CC}">
              <c16:uniqueId val="{00000000-1B78-4B06-A03D-7BAD8575CA0D}"/>
            </c:ext>
          </c:extLst>
        </c:ser>
        <c:dLbls>
          <c:dLblPos val="outEnd"/>
          <c:showLegendKey val="0"/>
          <c:showVal val="1"/>
          <c:showCatName val="0"/>
          <c:showSerName val="0"/>
          <c:showPercent val="0"/>
          <c:showBubbleSize val="0"/>
        </c:dLbls>
        <c:gapWidth val="182"/>
        <c:axId val="583900856"/>
        <c:axId val="583901216"/>
      </c:barChart>
      <c:catAx>
        <c:axId val="583900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01216"/>
        <c:crosses val="autoZero"/>
        <c:auto val="1"/>
        <c:lblAlgn val="ctr"/>
        <c:lblOffset val="100"/>
        <c:noMultiLvlLbl val="0"/>
      </c:catAx>
      <c:valAx>
        <c:axId val="583901216"/>
        <c:scaling>
          <c:orientation val="minMax"/>
        </c:scaling>
        <c:delete val="1"/>
        <c:axPos val="l"/>
        <c:numFmt formatCode="General" sourceLinked="1"/>
        <c:majorTickMark val="out"/>
        <c:minorTickMark val="none"/>
        <c:tickLblPos val="nextTo"/>
        <c:crossAx val="583900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800721784776904"/>
          <c:y val="0.21800925925925929"/>
          <c:w val="0.40287467191601051"/>
          <c:h val="0.6714577865266842"/>
        </c:manualLayout>
      </c:layout>
      <c:doughnutChart>
        <c:varyColors val="1"/>
        <c:ser>
          <c:idx val="0"/>
          <c:order val="0"/>
          <c:spPr>
            <a:ln>
              <a:noFill/>
            </a:ln>
          </c:spPr>
          <c:dPt>
            <c:idx val="0"/>
            <c:bubble3D val="0"/>
            <c:spPr>
              <a:gradFill>
                <a:gsLst>
                  <a:gs pos="0">
                    <a:schemeClr val="accent1">
                      <a:lumMod val="75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ED9B-4E5D-A67E-D91F88BC9A6C}"/>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ED9B-4E5D-A67E-D91F88BC9A6C}"/>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4-ED9B-4E5D-A67E-D91F88BC9A6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5F2928"/>
            </a:solidFill>
            <a:ln>
              <a:noFill/>
            </a:ln>
            <a:effectLst/>
          </c:spPr>
          <c:invertIfNegative val="0"/>
          <c:val>
            <c:numRef>
              <c:f>Rating!$B$8</c:f>
              <c:numCache>
                <c:formatCode>0.0</c:formatCode>
                <c:ptCount val="1"/>
                <c:pt idx="0">
                  <c:v>2.6265306122448981</c:v>
                </c:pt>
              </c:numCache>
            </c:numRef>
          </c:val>
          <c:extLst>
            <c:ext xmlns:c16="http://schemas.microsoft.com/office/drawing/2014/chart" uri="{C3380CC4-5D6E-409C-BE32-E72D297353CC}">
              <c16:uniqueId val="{00000000-A17B-4A37-827C-1C8517010938}"/>
            </c:ext>
          </c:extLst>
        </c:ser>
        <c:ser>
          <c:idx val="1"/>
          <c:order val="1"/>
          <c:spPr>
            <a:solidFill>
              <a:schemeClr val="bg1"/>
            </a:solidFill>
            <a:ln>
              <a:noFill/>
            </a:ln>
            <a:effectLst/>
          </c:spPr>
          <c:invertIfNegative val="0"/>
          <c:val>
            <c:numRef>
              <c:f>Rating!$B$9</c:f>
              <c:numCache>
                <c:formatCode>0.0</c:formatCode>
                <c:ptCount val="1"/>
                <c:pt idx="0">
                  <c:v>1.3734693877551019</c:v>
                </c:pt>
              </c:numCache>
            </c:numRef>
          </c:val>
          <c:extLst>
            <c:ext xmlns:c16="http://schemas.microsoft.com/office/drawing/2014/chart" uri="{C3380CC4-5D6E-409C-BE32-E72D297353CC}">
              <c16:uniqueId val="{00000001-A17B-4A37-827C-1C8517010938}"/>
            </c:ext>
          </c:extLst>
        </c:ser>
        <c:dLbls>
          <c:showLegendKey val="0"/>
          <c:showVal val="0"/>
          <c:showCatName val="0"/>
          <c:showSerName val="0"/>
          <c:showPercent val="0"/>
          <c:showBubbleSize val="0"/>
        </c:dLbls>
        <c:gapWidth val="0"/>
        <c:overlap val="100"/>
        <c:axId val="556522664"/>
        <c:axId val="556528424"/>
      </c:barChart>
      <c:catAx>
        <c:axId val="556522664"/>
        <c:scaling>
          <c:orientation val="minMax"/>
        </c:scaling>
        <c:delete val="1"/>
        <c:axPos val="l"/>
        <c:majorTickMark val="out"/>
        <c:minorTickMark val="none"/>
        <c:tickLblPos val="nextTo"/>
        <c:crossAx val="556528424"/>
        <c:crosses val="autoZero"/>
        <c:auto val="1"/>
        <c:lblAlgn val="ctr"/>
        <c:lblOffset val="100"/>
        <c:noMultiLvlLbl val="0"/>
      </c:catAx>
      <c:valAx>
        <c:axId val="556528424"/>
        <c:scaling>
          <c:orientation val="minMax"/>
          <c:max val="4"/>
        </c:scaling>
        <c:delete val="1"/>
        <c:axPos val="b"/>
        <c:numFmt formatCode="0.0" sourceLinked="1"/>
        <c:majorTickMark val="out"/>
        <c:minorTickMark val="none"/>
        <c:tickLblPos val="nextTo"/>
        <c:crossAx val="556522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7745589707007"/>
          <c:y val="0.11546976569362234"/>
          <c:w val="0.7895161664360324"/>
          <c:h val="0.76970250777288796"/>
        </c:manualLayout>
      </c:layout>
      <c:doughnutChart>
        <c:varyColors val="1"/>
        <c:ser>
          <c:idx val="0"/>
          <c:order val="0"/>
          <c:dPt>
            <c:idx val="0"/>
            <c:bubble3D val="0"/>
            <c:spPr>
              <a:gradFill>
                <a:gsLst>
                  <a:gs pos="0">
                    <a:srgbClr val="7030A0"/>
                  </a:gs>
                  <a:gs pos="100000">
                    <a:srgbClr val="E56EE8"/>
                  </a:gs>
                </a:gsLst>
                <a:lin ang="5400000" scaled="1"/>
              </a:gradFill>
              <a:ln w="19050">
                <a:solidFill>
                  <a:schemeClr val="lt1"/>
                </a:solidFill>
              </a:ln>
              <a:effectLst/>
            </c:spPr>
            <c:extLst>
              <c:ext xmlns:c16="http://schemas.microsoft.com/office/drawing/2014/chart" uri="{C3380CC4-5D6E-409C-BE32-E72D297353CC}">
                <c16:uniqueId val="{00000001-ABA5-487E-87D9-21A0A3CFDB0A}"/>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ABA5-487E-87D9-21A0A3CFDB0A}"/>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ABA5-487E-87D9-21A0A3CFDB0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57745589707007"/>
          <c:y val="0.11546976569362234"/>
          <c:w val="0.7895161664360324"/>
          <c:h val="0.76970250777288796"/>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27D0-4C69-A084-670014027D81}"/>
              </c:ext>
            </c:extLst>
          </c:dPt>
          <c:dPt>
            <c:idx val="1"/>
            <c:bubble3D val="0"/>
            <c:spPr>
              <a:gradFill>
                <a:gsLst>
                  <a:gs pos="0">
                    <a:schemeClr val="accent1">
                      <a:lumMod val="50000"/>
                    </a:schemeClr>
                  </a:gs>
                  <a:gs pos="100000">
                    <a:schemeClr val="accent5">
                      <a:lumMod val="75000"/>
                    </a:schemeClr>
                  </a:gs>
                </a:gsLst>
                <a:lin ang="5400000" scaled="1"/>
              </a:gradFill>
              <a:ln w="19050">
                <a:solidFill>
                  <a:schemeClr val="lt1"/>
                </a:solidFill>
              </a:ln>
              <a:effectLst/>
            </c:spPr>
            <c:extLst>
              <c:ext xmlns:c16="http://schemas.microsoft.com/office/drawing/2014/chart" uri="{C3380CC4-5D6E-409C-BE32-E72D297353CC}">
                <c16:uniqueId val="{00000003-27D0-4C69-A084-670014027D81}"/>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27D0-4C69-A084-670014027D8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DATA_Excel(AutoRecovered).xlsx]Education By Attrition!Education By Attrition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33333333333335"/>
          <c:y val="6.0185185185185182E-2"/>
          <c:w val="0.67222222222222228"/>
          <c:h val="0.89814814814814814"/>
        </c:manualLayout>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7F9-45BD-AE13-32C9EFA59DF6}"/>
            </c:ext>
          </c:extLst>
        </c:ser>
        <c:dLbls>
          <c:dLblPos val="outEnd"/>
          <c:showLegendKey val="0"/>
          <c:showVal val="1"/>
          <c:showCatName val="0"/>
          <c:showSerName val="0"/>
          <c:showPercent val="0"/>
          <c:showBubbleSize val="0"/>
        </c:dLbls>
        <c:gapWidth val="75"/>
        <c:axId val="412916728"/>
        <c:axId val="412917808"/>
      </c:barChart>
      <c:catAx>
        <c:axId val="412916728"/>
        <c:scaling>
          <c:orientation val="minMax"/>
        </c:scaling>
        <c:delete val="0"/>
        <c:axPos val="l"/>
        <c:numFmt formatCode="General" sourceLinked="1"/>
        <c:majorTickMark val="out"/>
        <c:minorTickMark val="none"/>
        <c:tickLblPos val="nextTo"/>
        <c:spPr>
          <a:noFill/>
          <a:ln w="9525" cap="flat" cmpd="sng" algn="ctr">
            <a:solidFill>
              <a:schemeClr val="lt1">
                <a:shade val="50000"/>
                <a:alpha val="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Black" panose="020B0A02040204020203" pitchFamily="34" charset="0"/>
                <a:ea typeface="Segoe UI Black" panose="020B0A02040204020203" pitchFamily="34" charset="0"/>
                <a:cs typeface="+mn-cs"/>
              </a:defRPr>
            </a:pPr>
            <a:endParaRPr lang="en-US"/>
          </a:p>
        </c:txPr>
        <c:crossAx val="412917808"/>
        <c:crosses val="autoZero"/>
        <c:auto val="1"/>
        <c:lblAlgn val="ctr"/>
        <c:lblOffset val="100"/>
        <c:noMultiLvlLbl val="0"/>
      </c:catAx>
      <c:valAx>
        <c:axId val="412917808"/>
        <c:scaling>
          <c:orientation val="minMax"/>
        </c:scaling>
        <c:delete val="1"/>
        <c:axPos val="b"/>
        <c:numFmt formatCode="General" sourceLinked="1"/>
        <c:majorTickMark val="out"/>
        <c:minorTickMark val="none"/>
        <c:tickLblPos val="nextTo"/>
        <c:crossAx val="412916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DATA_Excel(AutoRecovered).xlsx]Deparment Wise Attrition!Deparment Wise Attrition</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gradFill>
            <a:gsLst>
              <a:gs pos="0">
                <a:schemeClr val="accent5">
                  <a:lumMod val="50000"/>
                </a:schemeClr>
              </a:gs>
              <a:gs pos="100000">
                <a:schemeClr val="accent5">
                  <a:lumMod val="75000"/>
                </a:schemeClr>
              </a:gs>
            </a:gsLst>
            <a:lin ang="5400000" scaled="1"/>
          </a:gradFill>
          <a:ln w="19050">
            <a:solidFill>
              <a:schemeClr val="lt1"/>
            </a:solidFill>
          </a:ln>
          <a:effectLst/>
        </c:spPr>
      </c:pivotFmt>
      <c:pivotFmt>
        <c:idx val="8"/>
        <c:spPr>
          <a:solidFill>
            <a:schemeClr val="accent3">
              <a:lumMod val="50000"/>
            </a:schemeClr>
          </a:solidFill>
          <a:ln w="19050">
            <a:solidFill>
              <a:schemeClr val="lt1"/>
            </a:solidFill>
          </a:ln>
          <a:effectLst/>
        </c:spPr>
      </c:pivotFmt>
    </c:pivotFmts>
    <c:plotArea>
      <c:layout/>
      <c:pieChart>
        <c:varyColors val="1"/>
        <c:ser>
          <c:idx val="0"/>
          <c:order val="0"/>
          <c:tx>
            <c:strRef>
              <c:f>'Deparment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F4-4CC8-B849-811E3E6DE0A3}"/>
              </c:ext>
            </c:extLst>
          </c:dPt>
          <c:dPt>
            <c:idx val="1"/>
            <c:bubble3D val="0"/>
            <c:spPr>
              <a:gradFill>
                <a:gsLst>
                  <a:gs pos="0">
                    <a:schemeClr val="accent5">
                      <a:lumMod val="50000"/>
                    </a:schemeClr>
                  </a:gs>
                  <a:gs pos="100000">
                    <a:schemeClr val="accent5">
                      <a:lumMod val="75000"/>
                    </a:schemeClr>
                  </a:gs>
                </a:gsLst>
                <a:lin ang="5400000" scaled="1"/>
              </a:gradFill>
              <a:ln w="19050">
                <a:solidFill>
                  <a:schemeClr val="lt1"/>
                </a:solidFill>
              </a:ln>
              <a:effectLst/>
            </c:spPr>
            <c:extLst>
              <c:ext xmlns:c16="http://schemas.microsoft.com/office/drawing/2014/chart" uri="{C3380CC4-5D6E-409C-BE32-E72D297353CC}">
                <c16:uniqueId val="{00000003-EBF4-4CC8-B849-811E3E6DE0A3}"/>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EBF4-4CC8-B849-811E3E6DE0A3}"/>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'Deparment Wise Attrition'!$A$4:$A$7</c:f>
              <c:strCache>
                <c:ptCount val="3"/>
                <c:pt idx="0">
                  <c:v>HR</c:v>
                </c:pt>
                <c:pt idx="1">
                  <c:v>R&amp;D</c:v>
                </c:pt>
                <c:pt idx="2">
                  <c:v>Sales</c:v>
                </c:pt>
              </c:strCache>
            </c:strRef>
          </c:cat>
          <c:val>
            <c:numRef>
              <c:f>'Deparment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EBF4-4CC8-B849-811E3E6DE0A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DATA_Excel(AutoRecovered).xlsx]Attrition By Age!Attrition By Age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gradFill>
              <a:gsLst>
                <a:gs pos="0">
                  <a:schemeClr val="accent2">
                    <a:lumMod val="75000"/>
                  </a:schemeClr>
                </a:gs>
                <a:gs pos="100000">
                  <a:schemeClr val="accent2">
                    <a:lumMod val="50000"/>
                  </a:schemeClr>
                </a:gs>
              </a:gsLst>
              <a:lin ang="0" scaled="0"/>
            </a:gra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758-44D0-B2A3-C73D4571AA83}"/>
            </c:ext>
          </c:extLst>
        </c:ser>
        <c:dLbls>
          <c:showLegendKey val="0"/>
          <c:showVal val="0"/>
          <c:showCatName val="0"/>
          <c:showSerName val="0"/>
          <c:showPercent val="0"/>
          <c:showBubbleSize val="0"/>
        </c:dLbls>
        <c:gapWidth val="119"/>
        <c:overlap val="-77"/>
        <c:axId val="409662896"/>
        <c:axId val="341777128"/>
      </c:barChart>
      <c:catAx>
        <c:axId val="409662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341777128"/>
        <c:crosses val="autoZero"/>
        <c:auto val="1"/>
        <c:lblAlgn val="ctr"/>
        <c:lblOffset val="100"/>
        <c:noMultiLvlLbl val="0"/>
      </c:catAx>
      <c:valAx>
        <c:axId val="341777128"/>
        <c:scaling>
          <c:orientation val="minMax"/>
        </c:scaling>
        <c:delete val="1"/>
        <c:axPos val="l"/>
        <c:numFmt formatCode="General" sourceLinked="1"/>
        <c:majorTickMark val="out"/>
        <c:minorTickMark val="none"/>
        <c:tickLblPos val="nextTo"/>
        <c:crossAx val="4096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a:gsLst>
                <a:gs pos="0">
                  <a:schemeClr val="accent1">
                    <a:lumMod val="60000"/>
                    <a:lumOff val="40000"/>
                  </a:schemeClr>
                </a:gs>
                <a:gs pos="100000">
                  <a:schemeClr val="accent1">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'Martial Status'!$D$4:$D$6</c:f>
              <c:strCache>
                <c:ptCount val="3"/>
                <c:pt idx="0">
                  <c:v>Divorced</c:v>
                </c:pt>
                <c:pt idx="1">
                  <c:v>Married</c:v>
                </c:pt>
                <c:pt idx="2">
                  <c:v>Single</c:v>
                </c:pt>
              </c:strCache>
            </c:strRef>
          </c:cat>
          <c:val>
            <c:numRef>
              <c:f>'Martial Status'!$E$4:$E$6</c:f>
              <c:numCache>
                <c:formatCode>General</c:formatCode>
                <c:ptCount val="3"/>
                <c:pt idx="0">
                  <c:v>33</c:v>
                </c:pt>
                <c:pt idx="1">
                  <c:v>84</c:v>
                </c:pt>
                <c:pt idx="2">
                  <c:v>120</c:v>
                </c:pt>
              </c:numCache>
            </c:numRef>
          </c:val>
          <c:extLst>
            <c:ext xmlns:c16="http://schemas.microsoft.com/office/drawing/2014/chart" uri="{C3380CC4-5D6E-409C-BE32-E72D297353CC}">
              <c16:uniqueId val="{00000000-78E0-40C5-96CB-F0801D7C75DC}"/>
            </c:ext>
          </c:extLst>
        </c:ser>
        <c:dLbls>
          <c:dLblPos val="outEnd"/>
          <c:showLegendKey val="0"/>
          <c:showVal val="1"/>
          <c:showCatName val="0"/>
          <c:showSerName val="0"/>
          <c:showPercent val="0"/>
          <c:showBubbleSize val="0"/>
        </c:dLbls>
        <c:gapWidth val="182"/>
        <c:axId val="583900856"/>
        <c:axId val="583901216"/>
      </c:barChart>
      <c:catAx>
        <c:axId val="583900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583901216"/>
        <c:crosses val="autoZero"/>
        <c:auto val="1"/>
        <c:lblAlgn val="ctr"/>
        <c:lblOffset val="100"/>
        <c:noMultiLvlLbl val="0"/>
      </c:catAx>
      <c:valAx>
        <c:axId val="583901216"/>
        <c:scaling>
          <c:orientation val="minMax"/>
        </c:scaling>
        <c:delete val="1"/>
        <c:axPos val="l"/>
        <c:numFmt formatCode="General" sourceLinked="1"/>
        <c:majorTickMark val="out"/>
        <c:minorTickMark val="none"/>
        <c:tickLblPos val="nextTo"/>
        <c:crossAx val="5839008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B5855B48-B5DE-41C8-B775-300DBE701688}">
          <cx:tx>
            <cx:txData>
              <cx:f>_xlchart.v1.4</cx:f>
              <cx:v>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plotArea>
      <cx:plotAreaRegion>
        <cx:series layoutId="treemap" uniqueId="{B5855B48-B5DE-41C8-B775-300DBE701688}">
          <cx:tx>
            <cx:txData>
              <cx:f>_xlchart.v1.13</cx:f>
              <cx:v>n</cx:v>
            </cx:txData>
          </cx:tx>
          <cx:dataPt idx="1">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1.xml"/><Relationship Id="rId18" Type="http://schemas.openxmlformats.org/officeDocument/2006/relationships/chart" Target="../charts/chart15.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0.xml"/><Relationship Id="rId17" Type="http://schemas.openxmlformats.org/officeDocument/2006/relationships/chart" Target="../charts/chart14.xml"/><Relationship Id="rId2" Type="http://schemas.microsoft.com/office/2007/relationships/hdphoto" Target="../media/hdphoto1.wdp"/><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9.xml"/><Relationship Id="rId5" Type="http://schemas.openxmlformats.org/officeDocument/2006/relationships/image" Target="../media/image3.png"/><Relationship Id="rId15" Type="http://schemas.microsoft.com/office/2014/relationships/chartEx" Target="../charts/chartEx2.xml"/><Relationship Id="rId10" Type="http://schemas.openxmlformats.org/officeDocument/2006/relationships/chart" Target="../charts/chart8.xml"/><Relationship Id="rId4" Type="http://schemas.microsoft.com/office/2007/relationships/hdphoto" Target="../media/hdphoto2.wdp"/><Relationship Id="rId9" Type="http://schemas.openxmlformats.org/officeDocument/2006/relationships/image" Target="../media/image7.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7</xdr:col>
      <xdr:colOff>428625</xdr:colOff>
      <xdr:row>2</xdr:row>
      <xdr:rowOff>85725</xdr:rowOff>
    </xdr:from>
    <xdr:to>
      <xdr:col>10</xdr:col>
      <xdr:colOff>200025</xdr:colOff>
      <xdr:row>14</xdr:row>
      <xdr:rowOff>38100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8F50C7E-603D-A8F7-58E3-72992D1AA2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43875" y="485775"/>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104775</xdr:colOff>
      <xdr:row>4</xdr:row>
      <xdr:rowOff>152400</xdr:rowOff>
    </xdr:from>
    <xdr:to>
      <xdr:col>6</xdr:col>
      <xdr:colOff>85725</xdr:colOff>
      <xdr:row>10</xdr:row>
      <xdr:rowOff>190500</xdr:rowOff>
    </xdr:to>
    <xdr:graphicFrame macro="">
      <xdr:nvGraphicFramePr>
        <xdr:cNvPr id="2" name="Chart 1">
          <a:extLst>
            <a:ext uri="{FF2B5EF4-FFF2-40B4-BE49-F238E27FC236}">
              <a16:creationId xmlns:a16="http://schemas.microsoft.com/office/drawing/2014/main" id="{C6A7DD1F-F336-F5B0-6323-CC41A290E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342900</xdr:colOff>
      <xdr:row>4</xdr:row>
      <xdr:rowOff>114299</xdr:rowOff>
    </xdr:from>
    <xdr:to>
      <xdr:col>9</xdr:col>
      <xdr:colOff>114300</xdr:colOff>
      <xdr:row>9</xdr:row>
      <xdr:rowOff>47625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F59E6B2B-DD09-C7D6-B268-643FFC16E4B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29275" y="914399"/>
              <a:ext cx="1828800" cy="933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xdr:colOff>
      <xdr:row>9</xdr:row>
      <xdr:rowOff>104774</xdr:rowOff>
    </xdr:from>
    <xdr:to>
      <xdr:col>8</xdr:col>
      <xdr:colOff>504825</xdr:colOff>
      <xdr:row>15</xdr:row>
      <xdr:rowOff>85725</xdr:rowOff>
    </xdr:to>
    <xdr:graphicFrame macro="">
      <xdr:nvGraphicFramePr>
        <xdr:cNvPr id="6" name="Chart 5">
          <a:extLst>
            <a:ext uri="{FF2B5EF4-FFF2-40B4-BE49-F238E27FC236}">
              <a16:creationId xmlns:a16="http://schemas.microsoft.com/office/drawing/2014/main" id="{7ED35476-D82A-D844-4727-A0F239923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323850</xdr:colOff>
      <xdr:row>2</xdr:row>
      <xdr:rowOff>76199</xdr:rowOff>
    </xdr:from>
    <xdr:to>
      <xdr:col>12</xdr:col>
      <xdr:colOff>95250</xdr:colOff>
      <xdr:row>14</xdr:row>
      <xdr:rowOff>28574</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3F5F97AE-52F5-DA28-21FD-BC292692C3B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667625" y="476249"/>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180975</xdr:colOff>
      <xdr:row>2</xdr:row>
      <xdr:rowOff>85725</xdr:rowOff>
    </xdr:from>
    <xdr:to>
      <xdr:col>8</xdr:col>
      <xdr:colOff>638175</xdr:colOff>
      <xdr:row>13</xdr:row>
      <xdr:rowOff>133350</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FBDBBAE8-5A75-1735-4257-32E6CF901B7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5772150" y="485775"/>
              <a:ext cx="1828800" cy="224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276225</xdr:colOff>
      <xdr:row>1</xdr:row>
      <xdr:rowOff>57150</xdr:rowOff>
    </xdr:from>
    <xdr:to>
      <xdr:col>12</xdr:col>
      <xdr:colOff>47625</xdr:colOff>
      <xdr:row>7</xdr:row>
      <xdr:rowOff>114300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5A0F4A3F-BC65-3A6C-F4B7-238EE1FA579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924800" y="257175"/>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1490662</xdr:colOff>
      <xdr:row>12</xdr:row>
      <xdr:rowOff>95249</xdr:rowOff>
    </xdr:from>
    <xdr:to>
      <xdr:col>4</xdr:col>
      <xdr:colOff>552450</xdr:colOff>
      <xdr:row>18</xdr:row>
      <xdr:rowOff>85724</xdr:rowOff>
    </xdr:to>
    <xdr:graphicFrame macro="">
      <xdr:nvGraphicFramePr>
        <xdr:cNvPr id="4" name="Chart 3">
          <a:extLst>
            <a:ext uri="{FF2B5EF4-FFF2-40B4-BE49-F238E27FC236}">
              <a16:creationId xmlns:a16="http://schemas.microsoft.com/office/drawing/2014/main" id="{8329BFD5-7F4F-591F-F672-7E903414D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338137</xdr:colOff>
      <xdr:row>3</xdr:row>
      <xdr:rowOff>38100</xdr:rowOff>
    </xdr:from>
    <xdr:to>
      <xdr:col>9</xdr:col>
      <xdr:colOff>109537</xdr:colOff>
      <xdr:row>16</xdr:row>
      <xdr:rowOff>180975</xdr:rowOff>
    </xdr:to>
    <xdr:graphicFrame macro="">
      <xdr:nvGraphicFramePr>
        <xdr:cNvPr id="2" name="Chart 1">
          <a:extLst>
            <a:ext uri="{FF2B5EF4-FFF2-40B4-BE49-F238E27FC236}">
              <a16:creationId xmlns:a16="http://schemas.microsoft.com/office/drawing/2014/main" id="{390D1462-9D46-0AD5-E56B-5A5A4375E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395287</xdr:colOff>
      <xdr:row>3</xdr:row>
      <xdr:rowOff>190500</xdr:rowOff>
    </xdr:from>
    <xdr:to>
      <xdr:col>7</xdr:col>
      <xdr:colOff>76200</xdr:colOff>
      <xdr:row>16</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0E6019E-3A49-F97A-F4E6-97D279B0A2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76687" y="790575"/>
              <a:ext cx="4062413" cy="2409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1338262</xdr:colOff>
      <xdr:row>9</xdr:row>
      <xdr:rowOff>76199</xdr:rowOff>
    </xdr:from>
    <xdr:to>
      <xdr:col>6</xdr:col>
      <xdr:colOff>590550</xdr:colOff>
      <xdr:row>17</xdr:row>
      <xdr:rowOff>161924</xdr:rowOff>
    </xdr:to>
    <xdr:graphicFrame macro="">
      <xdr:nvGraphicFramePr>
        <xdr:cNvPr id="2" name="Chart 1">
          <a:extLst>
            <a:ext uri="{FF2B5EF4-FFF2-40B4-BE49-F238E27FC236}">
              <a16:creationId xmlns:a16="http://schemas.microsoft.com/office/drawing/2014/main" id="{CA508D8D-38D0-F076-0885-617DB6F6B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1366837</xdr:colOff>
      <xdr:row>3</xdr:row>
      <xdr:rowOff>190500</xdr:rowOff>
    </xdr:from>
    <xdr:to>
      <xdr:col>5</xdr:col>
      <xdr:colOff>614362</xdr:colOff>
      <xdr:row>17</xdr:row>
      <xdr:rowOff>133350</xdr:rowOff>
    </xdr:to>
    <xdr:graphicFrame macro="">
      <xdr:nvGraphicFramePr>
        <xdr:cNvPr id="2" name="Chart 1">
          <a:extLst>
            <a:ext uri="{FF2B5EF4-FFF2-40B4-BE49-F238E27FC236}">
              <a16:creationId xmlns:a16="http://schemas.microsoft.com/office/drawing/2014/main" id="{2F688E77-8F89-93C6-725F-74AF18A7D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566737</xdr:colOff>
      <xdr:row>9</xdr:row>
      <xdr:rowOff>38100</xdr:rowOff>
    </xdr:from>
    <xdr:to>
      <xdr:col>8</xdr:col>
      <xdr:colOff>180975</xdr:colOff>
      <xdr:row>17</xdr:row>
      <xdr:rowOff>133350</xdr:rowOff>
    </xdr:to>
    <xdr:graphicFrame macro="">
      <xdr:nvGraphicFramePr>
        <xdr:cNvPr id="2" name="Chart 1">
          <a:extLst>
            <a:ext uri="{FF2B5EF4-FFF2-40B4-BE49-F238E27FC236}">
              <a16:creationId xmlns:a16="http://schemas.microsoft.com/office/drawing/2014/main" id="{0A872617-97BF-DD50-279C-325620B7D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495300</xdr:colOff>
      <xdr:row>3</xdr:row>
      <xdr:rowOff>133350</xdr:rowOff>
    </xdr:from>
    <xdr:to>
      <xdr:col>12</xdr:col>
      <xdr:colOff>266700</xdr:colOff>
      <xdr:row>17</xdr:row>
      <xdr:rowOff>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9A1C7D71-6F29-A55D-8E88-A618DC9A917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10575" y="7334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552450</xdr:colOff>
      <xdr:row>5</xdr:row>
      <xdr:rowOff>180975</xdr:rowOff>
    </xdr:from>
    <xdr:to>
      <xdr:col>8</xdr:col>
      <xdr:colOff>323850</xdr:colOff>
      <xdr:row>17</xdr:row>
      <xdr:rowOff>0</xdr:rowOff>
    </xdr:to>
    <mc:AlternateContent xmlns:mc="http://schemas.openxmlformats.org/markup-compatibility/2006">
      <mc:Choice xmlns:a14="http://schemas.microsoft.com/office/drawing/2010/main" Requires="a14">
        <xdr:graphicFrame macro="">
          <xdr:nvGraphicFramePr>
            <xdr:cNvPr id="4" name="Education Field 1">
              <a:extLst>
                <a:ext uri="{FF2B5EF4-FFF2-40B4-BE49-F238E27FC236}">
                  <a16:creationId xmlns:a16="http://schemas.microsoft.com/office/drawing/2014/main" id="{5BCFFD2E-0687-E5EE-AEC5-3A7ABF48B53B}"/>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5724525" y="1181100"/>
              <a:ext cx="1828800"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453012</xdr:colOff>
      <xdr:row>0</xdr:row>
      <xdr:rowOff>0</xdr:rowOff>
    </xdr:from>
    <xdr:to>
      <xdr:col>26</xdr:col>
      <xdr:colOff>329187</xdr:colOff>
      <xdr:row>38</xdr:row>
      <xdr:rowOff>142875</xdr:rowOff>
    </xdr:to>
    <xdr:grpSp>
      <xdr:nvGrpSpPr>
        <xdr:cNvPr id="39" name="Group 38">
          <a:extLst>
            <a:ext uri="{FF2B5EF4-FFF2-40B4-BE49-F238E27FC236}">
              <a16:creationId xmlns:a16="http://schemas.microsoft.com/office/drawing/2014/main" id="{C26DB03B-9470-AA8B-EF21-30D09F9675E2}"/>
            </a:ext>
          </a:extLst>
        </xdr:cNvPr>
        <xdr:cNvGrpSpPr/>
      </xdr:nvGrpSpPr>
      <xdr:grpSpPr>
        <a:xfrm>
          <a:off x="2396112" y="0"/>
          <a:ext cx="14747875" cy="7381875"/>
          <a:chOff x="2422955" y="0"/>
          <a:chExt cx="14846300" cy="7381875"/>
        </a:xfrm>
      </xdr:grpSpPr>
      <xdr:grpSp>
        <xdr:nvGrpSpPr>
          <xdr:cNvPr id="3" name="Shape 2">
            <a:extLst>
              <a:ext uri="{FF2B5EF4-FFF2-40B4-BE49-F238E27FC236}">
                <a16:creationId xmlns:a16="http://schemas.microsoft.com/office/drawing/2014/main" id="{E95EAFE4-20AD-42E2-A54C-A279CFE6577B}"/>
              </a:ext>
            </a:extLst>
          </xdr:cNvPr>
          <xdr:cNvGrpSpPr/>
        </xdr:nvGrpSpPr>
        <xdr:grpSpPr>
          <a:xfrm>
            <a:off x="2422955" y="0"/>
            <a:ext cx="14846300" cy="7381875"/>
            <a:chOff x="-11445" y="89063"/>
            <a:chExt cx="10703445" cy="7381875"/>
          </a:xfrm>
        </xdr:grpSpPr>
        <xdr:grpSp>
          <xdr:nvGrpSpPr>
            <xdr:cNvPr id="5" name="Shape 79">
              <a:extLst>
                <a:ext uri="{FF2B5EF4-FFF2-40B4-BE49-F238E27FC236}">
                  <a16:creationId xmlns:a16="http://schemas.microsoft.com/office/drawing/2014/main" id="{693556D9-F40C-AC6B-0E2A-1A7E60E04C7E}"/>
                </a:ext>
              </a:extLst>
            </xdr:cNvPr>
            <xdr:cNvGrpSpPr/>
          </xdr:nvGrpSpPr>
          <xdr:grpSpPr>
            <a:xfrm>
              <a:off x="-11445" y="89063"/>
              <a:ext cx="10703445" cy="7381875"/>
              <a:chOff x="1738183" y="190500"/>
              <a:chExt cx="13482767" cy="7776000"/>
            </a:xfrm>
          </xdr:grpSpPr>
          <xdr:sp macro="" textlink="">
            <xdr:nvSpPr>
              <xdr:cNvPr id="6" name="Shape 4">
                <a:extLst>
                  <a:ext uri="{FF2B5EF4-FFF2-40B4-BE49-F238E27FC236}">
                    <a16:creationId xmlns:a16="http://schemas.microsoft.com/office/drawing/2014/main" id="{327FBDB1-3EAF-001F-2172-F80B080EED58}"/>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80">
                <a:extLst>
                  <a:ext uri="{FF2B5EF4-FFF2-40B4-BE49-F238E27FC236}">
                    <a16:creationId xmlns:a16="http://schemas.microsoft.com/office/drawing/2014/main" id="{F1CEEA8E-2016-8F81-D1C5-EFC56B9FCC55}"/>
                  </a:ext>
                </a:extLst>
              </xdr:cNvPr>
              <xdr:cNvSpPr/>
            </xdr:nvSpPr>
            <xdr:spPr>
              <a:xfrm>
                <a:off x="1738183"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 name="Shape 81">
                <a:extLst>
                  <a:ext uri="{FF2B5EF4-FFF2-40B4-BE49-F238E27FC236}">
                    <a16:creationId xmlns:a16="http://schemas.microsoft.com/office/drawing/2014/main" id="{0B760609-64EE-CC2A-7FC8-358B23F8CE5E}"/>
                  </a:ext>
                </a:extLst>
              </xdr:cNvPr>
              <xdr:cNvSpPr/>
            </xdr:nvSpPr>
            <xdr:spPr>
              <a:xfrm>
                <a:off x="1852449" y="270899"/>
                <a:ext cx="7691601" cy="834001"/>
              </a:xfrm>
              <a:prstGeom prst="roundRect">
                <a:avLst>
                  <a:gd name="adj" fmla="val 10000"/>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9" name="Shape 82">
                <a:extLst>
                  <a:ext uri="{FF2B5EF4-FFF2-40B4-BE49-F238E27FC236}">
                    <a16:creationId xmlns:a16="http://schemas.microsoft.com/office/drawing/2014/main" id="{396B7EC8-4F38-9301-EF45-41597532519C}"/>
                  </a:ext>
                </a:extLst>
              </xdr:cNvPr>
              <xdr:cNvSpPr/>
            </xdr:nvSpPr>
            <xdr:spPr>
              <a:xfrm>
                <a:off x="9658349" y="270899"/>
                <a:ext cx="5467351" cy="834001"/>
              </a:xfrm>
              <a:prstGeom prst="roundRect">
                <a:avLst>
                  <a:gd name="adj" fmla="val 10000"/>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 name="Shape 83">
                <a:extLst>
                  <a:ext uri="{FF2B5EF4-FFF2-40B4-BE49-F238E27FC236}">
                    <a16:creationId xmlns:a16="http://schemas.microsoft.com/office/drawing/2014/main" id="{5035925F-A3FA-2F69-3200-0AE2AC94F32D}"/>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11" name="Shape 84">
                <a:extLst>
                  <a:ext uri="{FF2B5EF4-FFF2-40B4-BE49-F238E27FC236}">
                    <a16:creationId xmlns:a16="http://schemas.microsoft.com/office/drawing/2014/main" id="{5D563ECE-ECC3-A64C-D6E6-8098A072FF80}"/>
                  </a:ext>
                </a:extLst>
              </xdr:cNvPr>
              <xdr:cNvGrpSpPr/>
            </xdr:nvGrpSpPr>
            <xdr:grpSpPr>
              <a:xfrm>
                <a:off x="1802865" y="1215714"/>
                <a:ext cx="13332360" cy="998848"/>
                <a:chOff x="1802493" y="1215714"/>
                <a:chExt cx="13447032" cy="998848"/>
              </a:xfrm>
            </xdr:grpSpPr>
            <xdr:sp macro="" textlink="">
              <xdr:nvSpPr>
                <xdr:cNvPr id="26" name="Shape 85">
                  <a:extLst>
                    <a:ext uri="{FF2B5EF4-FFF2-40B4-BE49-F238E27FC236}">
                      <a16:creationId xmlns:a16="http://schemas.microsoft.com/office/drawing/2014/main" id="{1F08584F-7D10-63CF-73B9-CE9DA3A00DEA}"/>
                    </a:ext>
                  </a:extLst>
                </xdr:cNvPr>
                <xdr:cNvSpPr/>
              </xdr:nvSpPr>
              <xdr:spPr>
                <a:xfrm>
                  <a:off x="1802493" y="1215714"/>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chemeClr val="bg1"/>
                    </a:solidFill>
                  </a:endParaRPr>
                </a:p>
              </xdr:txBody>
            </xdr:sp>
            <xdr:sp macro="" textlink="">
              <xdr:nvSpPr>
                <xdr:cNvPr id="27" name="Shape 86">
                  <a:extLst>
                    <a:ext uri="{FF2B5EF4-FFF2-40B4-BE49-F238E27FC236}">
                      <a16:creationId xmlns:a16="http://schemas.microsoft.com/office/drawing/2014/main" id="{9AC2B345-0B02-530E-DDF2-9F48337B9577}"/>
                    </a:ext>
                  </a:extLst>
                </xdr:cNvPr>
                <xdr:cNvSpPr/>
              </xdr:nvSpPr>
              <xdr:spPr>
                <a:xfrm>
                  <a:off x="4546454" y="1215714"/>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7">
                  <a:extLst>
                    <a:ext uri="{FF2B5EF4-FFF2-40B4-BE49-F238E27FC236}">
                      <a16:creationId xmlns:a16="http://schemas.microsoft.com/office/drawing/2014/main" id="{8F12D6C8-A1D1-B05E-8FFD-A07F50D7A0D2}"/>
                    </a:ext>
                  </a:extLst>
                </xdr:cNvPr>
                <xdr:cNvSpPr/>
              </xdr:nvSpPr>
              <xdr:spPr>
                <a:xfrm>
                  <a:off x="7246792" y="1215714"/>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9" name="Shape 88">
                  <a:extLst>
                    <a:ext uri="{FF2B5EF4-FFF2-40B4-BE49-F238E27FC236}">
                      <a16:creationId xmlns:a16="http://schemas.microsoft.com/office/drawing/2014/main" id="{888F7721-CB8D-0BF4-E435-0A7F0679AE3E}"/>
                    </a:ext>
                  </a:extLst>
                </xdr:cNvPr>
                <xdr:cNvSpPr/>
              </xdr:nvSpPr>
              <xdr:spPr>
                <a:xfrm>
                  <a:off x="9947130" y="1215714"/>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0" name="Shape 89">
                  <a:extLst>
                    <a:ext uri="{FF2B5EF4-FFF2-40B4-BE49-F238E27FC236}">
                      <a16:creationId xmlns:a16="http://schemas.microsoft.com/office/drawing/2014/main" id="{634E19FB-DDE9-855C-C57B-97B8359B7EDB}"/>
                    </a:ext>
                  </a:extLst>
                </xdr:cNvPr>
                <xdr:cNvSpPr/>
              </xdr:nvSpPr>
              <xdr:spPr>
                <a:xfrm>
                  <a:off x="12647467" y="1215714"/>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2" name="Shape 90">
                <a:extLst>
                  <a:ext uri="{FF2B5EF4-FFF2-40B4-BE49-F238E27FC236}">
                    <a16:creationId xmlns:a16="http://schemas.microsoft.com/office/drawing/2014/main" id="{3F88A0E7-5619-04E1-3820-747465AE367A}"/>
                  </a:ext>
                </a:extLst>
              </xdr:cNvPr>
              <xdr:cNvGrpSpPr/>
            </xdr:nvGrpSpPr>
            <xdr:grpSpPr>
              <a:xfrm>
                <a:off x="1847145" y="5162550"/>
                <a:ext cx="3867930" cy="2709509"/>
                <a:chOff x="1847145" y="2304895"/>
                <a:chExt cx="3867930" cy="2772878"/>
              </a:xfrm>
            </xdr:grpSpPr>
            <xdr:sp macro="" textlink="">
              <xdr:nvSpPr>
                <xdr:cNvPr id="24" name="Shape 91">
                  <a:extLst>
                    <a:ext uri="{FF2B5EF4-FFF2-40B4-BE49-F238E27FC236}">
                      <a16:creationId xmlns:a16="http://schemas.microsoft.com/office/drawing/2014/main" id="{B0D5EE86-7CAE-4904-8D44-26C0ABCA0299}"/>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5" name="Shape 92">
                  <a:extLst>
                    <a:ext uri="{FF2B5EF4-FFF2-40B4-BE49-F238E27FC236}">
                      <a16:creationId xmlns:a16="http://schemas.microsoft.com/office/drawing/2014/main" id="{83F2A5C8-ADE5-A363-11C5-9DE4CD06BD76}"/>
                    </a:ext>
                  </a:extLst>
                </xdr:cNvPr>
                <xdr:cNvCxnSpPr/>
              </xdr:nvCxnSpPr>
              <xdr:spPr>
                <a:xfrm rot="10800000" flipH="1">
                  <a:off x="1963706" y="2678637"/>
                  <a:ext cx="3608419" cy="5300"/>
                </a:xfrm>
                <a:prstGeom prst="straightConnector1">
                  <a:avLst/>
                </a:prstGeom>
                <a:noFill/>
                <a:ln w="12700" cap="flat" cmpd="sng">
                  <a:solidFill>
                    <a:schemeClr val="tx1">
                      <a:lumMod val="95000"/>
                      <a:lumOff val="5000"/>
                    </a:schemeClr>
                  </a:solidFill>
                  <a:prstDash val="solid"/>
                  <a:miter lim="800000"/>
                  <a:headEnd type="none" w="sm" len="sm"/>
                  <a:tailEnd type="none" w="sm" len="sm"/>
                </a:ln>
              </xdr:spPr>
            </xdr:cxnSp>
          </xdr:grpSp>
          <xdr:cxnSp macro="">
            <xdr:nvCxnSpPr>
              <xdr:cNvPr id="13" name="Shape 93">
                <a:extLst>
                  <a:ext uri="{FF2B5EF4-FFF2-40B4-BE49-F238E27FC236}">
                    <a16:creationId xmlns:a16="http://schemas.microsoft.com/office/drawing/2014/main" id="{7D5970FF-99CE-1978-2DD0-FB45E2AA35A4}"/>
                  </a:ext>
                </a:extLst>
              </xdr:cNvPr>
              <xdr:cNvCxnSpPr/>
            </xdr:nvCxnSpPr>
            <xdr:spPr>
              <a:xfrm flipH="1">
                <a:off x="5989363" y="2666999"/>
                <a:ext cx="4464000" cy="2650"/>
              </a:xfrm>
              <a:prstGeom prst="straightConnector1">
                <a:avLst/>
              </a:prstGeom>
              <a:noFill/>
              <a:ln w="12700" cap="flat" cmpd="sng">
                <a:solidFill>
                  <a:schemeClr val="tx1">
                    <a:lumMod val="95000"/>
                    <a:lumOff val="5000"/>
                  </a:schemeClr>
                </a:solidFill>
                <a:prstDash val="solid"/>
                <a:miter lim="800000"/>
                <a:headEnd type="none" w="sm" len="sm"/>
                <a:tailEnd type="none" w="sm" len="sm"/>
              </a:ln>
            </xdr:spPr>
          </xdr:cxnSp>
          <xdr:sp macro="" textlink="">
            <xdr:nvSpPr>
              <xdr:cNvPr id="14" name="Shape 94">
                <a:extLst>
                  <a:ext uri="{FF2B5EF4-FFF2-40B4-BE49-F238E27FC236}">
                    <a16:creationId xmlns:a16="http://schemas.microsoft.com/office/drawing/2014/main" id="{1F0ED16B-8998-24C1-95BB-B7D97586FBDF}"/>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5">
                <a:extLst>
                  <a:ext uri="{FF2B5EF4-FFF2-40B4-BE49-F238E27FC236}">
                    <a16:creationId xmlns:a16="http://schemas.microsoft.com/office/drawing/2014/main" id="{C9739960-D6B6-3D04-3613-DFEEC7600B8A}"/>
                  </a:ext>
                </a:extLst>
              </xdr:cNvPr>
              <xdr:cNvCxnSpPr/>
            </xdr:nvCxnSpPr>
            <xdr:spPr>
              <a:xfrm rot="10800000" flipH="1">
                <a:off x="10917205" y="2678637"/>
                <a:ext cx="4068000" cy="5300"/>
              </a:xfrm>
              <a:prstGeom prst="straightConnector1">
                <a:avLst/>
              </a:prstGeom>
              <a:noFill/>
              <a:ln w="12700" cap="flat" cmpd="sng">
                <a:solidFill>
                  <a:srgbClr val="5F2928"/>
                </a:solidFill>
                <a:prstDash val="solid"/>
                <a:miter lim="800000"/>
                <a:headEnd type="none" w="sm" len="sm"/>
                <a:tailEnd type="none" w="sm" len="sm"/>
              </a:ln>
            </xdr:spPr>
          </xdr:cxnSp>
          <xdr:sp macro="" textlink="">
            <xdr:nvSpPr>
              <xdr:cNvPr id="16" name="Shape 96">
                <a:extLst>
                  <a:ext uri="{FF2B5EF4-FFF2-40B4-BE49-F238E27FC236}">
                    <a16:creationId xmlns:a16="http://schemas.microsoft.com/office/drawing/2014/main" id="{1D413BF9-DC3F-9052-B4E8-778DDE2C8613}"/>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7">
                <a:extLst>
                  <a:ext uri="{FF2B5EF4-FFF2-40B4-BE49-F238E27FC236}">
                    <a16:creationId xmlns:a16="http://schemas.microsoft.com/office/drawing/2014/main" id="{7DB7FCE9-0E53-9E74-166F-5513B3BCCB4F}"/>
                  </a:ext>
                </a:extLst>
              </xdr:cNvPr>
              <xdr:cNvCxnSpPr/>
            </xdr:nvCxnSpPr>
            <xdr:spPr>
              <a:xfrm rot="10800000" flipH="1">
                <a:off x="1995699" y="2739785"/>
                <a:ext cx="3608419" cy="5265"/>
              </a:xfrm>
              <a:prstGeom prst="straightConnector1">
                <a:avLst/>
              </a:prstGeom>
              <a:noFill/>
              <a:ln w="12700" cap="flat" cmpd="sng">
                <a:solidFill>
                  <a:schemeClr val="tx1">
                    <a:lumMod val="95000"/>
                    <a:lumOff val="5000"/>
                  </a:schemeClr>
                </a:solidFill>
                <a:prstDash val="solid"/>
                <a:miter lim="800000"/>
                <a:headEnd type="none" w="sm" len="sm"/>
                <a:tailEnd type="none" w="sm" len="sm"/>
              </a:ln>
            </xdr:spPr>
          </xdr:cxnSp>
          <xdr:sp macro="" textlink="">
            <xdr:nvSpPr>
              <xdr:cNvPr id="18" name="Shape 98">
                <a:extLst>
                  <a:ext uri="{FF2B5EF4-FFF2-40B4-BE49-F238E27FC236}">
                    <a16:creationId xmlns:a16="http://schemas.microsoft.com/office/drawing/2014/main" id="{2DDD7F8E-8CAD-5ECA-ECDF-613EDBCFFD9B}"/>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99">
                <a:extLst>
                  <a:ext uri="{FF2B5EF4-FFF2-40B4-BE49-F238E27FC236}">
                    <a16:creationId xmlns:a16="http://schemas.microsoft.com/office/drawing/2014/main" id="{3C3BF86D-22F7-B229-545A-C61B8B87471E}"/>
                  </a:ext>
                </a:extLst>
              </xdr:cNvPr>
              <xdr:cNvCxnSpPr/>
            </xdr:nvCxnSpPr>
            <xdr:spPr>
              <a:xfrm rot="10800000" flipH="1">
                <a:off x="6009569" y="5524500"/>
                <a:ext cx="3096000" cy="5179"/>
              </a:xfrm>
              <a:prstGeom prst="straightConnector1">
                <a:avLst/>
              </a:prstGeom>
              <a:noFill/>
              <a:ln w="12700" cap="flat" cmpd="sng">
                <a:solidFill>
                  <a:schemeClr val="tx1">
                    <a:lumMod val="95000"/>
                    <a:lumOff val="5000"/>
                  </a:schemeClr>
                </a:solidFill>
                <a:prstDash val="solid"/>
                <a:miter lim="800000"/>
                <a:headEnd type="none" w="sm" len="sm"/>
                <a:tailEnd type="none" w="sm" len="sm"/>
              </a:ln>
            </xdr:spPr>
          </xdr:cxnSp>
          <xdr:sp macro="" textlink="">
            <xdr:nvSpPr>
              <xdr:cNvPr id="20" name="Shape 100">
                <a:extLst>
                  <a:ext uri="{FF2B5EF4-FFF2-40B4-BE49-F238E27FC236}">
                    <a16:creationId xmlns:a16="http://schemas.microsoft.com/office/drawing/2014/main" id="{65BF4F9A-E41C-996A-C71F-B52C559EC2CD}"/>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1">
                <a:extLst>
                  <a:ext uri="{FF2B5EF4-FFF2-40B4-BE49-F238E27FC236}">
                    <a16:creationId xmlns:a16="http://schemas.microsoft.com/office/drawing/2014/main" id="{423F8038-4F4A-8DD4-9FC5-2A0CFF17568F}"/>
                  </a:ext>
                </a:extLst>
              </xdr:cNvPr>
              <xdr:cNvCxnSpPr/>
            </xdr:nvCxnSpPr>
            <xdr:spPr>
              <a:xfrm rot="10800000" flipH="1">
                <a:off x="9686219" y="5524500"/>
                <a:ext cx="2448000" cy="5179"/>
              </a:xfrm>
              <a:prstGeom prst="straightConnector1">
                <a:avLst/>
              </a:prstGeom>
              <a:noFill/>
              <a:ln w="12700" cap="flat" cmpd="sng">
                <a:solidFill>
                  <a:schemeClr val="tx1">
                    <a:lumMod val="95000"/>
                    <a:lumOff val="5000"/>
                  </a:schemeClr>
                </a:solidFill>
                <a:prstDash val="solid"/>
                <a:miter lim="800000"/>
                <a:headEnd type="none" w="sm" len="sm"/>
                <a:tailEnd type="none" w="sm" len="sm"/>
              </a:ln>
            </xdr:spPr>
          </xdr:cxnSp>
          <xdr:sp macro="" textlink="">
            <xdr:nvSpPr>
              <xdr:cNvPr id="22" name="Shape 102">
                <a:extLst>
                  <a:ext uri="{FF2B5EF4-FFF2-40B4-BE49-F238E27FC236}">
                    <a16:creationId xmlns:a16="http://schemas.microsoft.com/office/drawing/2014/main" id="{5D2BA40E-D894-2979-B8A2-E606431FE1AE}"/>
                  </a:ext>
                </a:extLst>
              </xdr:cNvPr>
              <xdr:cNvSpPr/>
            </xdr:nvSpPr>
            <xdr:spPr>
              <a:xfrm>
                <a:off x="12419895" y="5162550"/>
                <a:ext cx="2700000" cy="2700000"/>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103">
                <a:extLst>
                  <a:ext uri="{FF2B5EF4-FFF2-40B4-BE49-F238E27FC236}">
                    <a16:creationId xmlns:a16="http://schemas.microsoft.com/office/drawing/2014/main" id="{9802238D-51D0-DFCC-582C-4FEC7504B99C}"/>
                  </a:ext>
                </a:extLst>
              </xdr:cNvPr>
              <xdr:cNvCxnSpPr/>
            </xdr:nvCxnSpPr>
            <xdr:spPr>
              <a:xfrm rot="10800000" flipH="1">
                <a:off x="12543719" y="5514975"/>
                <a:ext cx="2448000" cy="5179"/>
              </a:xfrm>
              <a:prstGeom prst="straightConnector1">
                <a:avLst/>
              </a:prstGeom>
              <a:noFill/>
              <a:ln w="12700" cap="flat" cmpd="sng">
                <a:solidFill>
                  <a:schemeClr val="tx1">
                    <a:lumMod val="95000"/>
                    <a:lumOff val="5000"/>
                  </a:schemeClr>
                </a:solidFill>
                <a:prstDash val="solid"/>
                <a:miter lim="800000"/>
                <a:headEnd type="none" w="sm" len="sm"/>
                <a:tailEnd type="none" w="sm" len="sm"/>
              </a:ln>
            </xdr:spPr>
          </xdr:cxnSp>
        </xdr:grpSp>
      </xdr:grpSp>
      <xdr:sp macro="" textlink="">
        <xdr:nvSpPr>
          <xdr:cNvPr id="31" name="TextBox 30">
            <a:extLst>
              <a:ext uri="{FF2B5EF4-FFF2-40B4-BE49-F238E27FC236}">
                <a16:creationId xmlns:a16="http://schemas.microsoft.com/office/drawing/2014/main" id="{6542D33A-E42B-19DA-A52D-CB56C8FEA9DA}"/>
              </a:ext>
            </a:extLst>
          </xdr:cNvPr>
          <xdr:cNvSpPr txBox="1"/>
        </xdr:nvSpPr>
        <xdr:spPr>
          <a:xfrm>
            <a:off x="2616354" y="949923"/>
            <a:ext cx="2048220" cy="41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Elephant" panose="02020904090505020303" pitchFamily="18" charset="0"/>
              </a:rPr>
              <a:t>Total Employees</a:t>
            </a:r>
          </a:p>
        </xdr:txBody>
      </xdr:sp>
      <xdr:sp macro="" textlink="KPI!A8">
        <xdr:nvSpPr>
          <xdr:cNvPr id="32" name="TextBox 31">
            <a:extLst>
              <a:ext uri="{FF2B5EF4-FFF2-40B4-BE49-F238E27FC236}">
                <a16:creationId xmlns:a16="http://schemas.microsoft.com/office/drawing/2014/main" id="{8597E965-A2F4-7405-5290-A03DD6BA8FDA}"/>
              </a:ext>
            </a:extLst>
          </xdr:cNvPr>
          <xdr:cNvSpPr txBox="1"/>
        </xdr:nvSpPr>
        <xdr:spPr>
          <a:xfrm>
            <a:off x="3564741" y="1282128"/>
            <a:ext cx="1738579" cy="507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6B5333-7953-4234-B416-48DEA2C07B98}" type="TxLink">
              <a:rPr lang="en-US" sz="2600" b="1" i="0" u="none" strike="noStrike">
                <a:solidFill>
                  <a:srgbClr val="002060"/>
                </a:solidFill>
                <a:latin typeface="Calibri" panose="020F0502020204030204" pitchFamily="34" charset="0"/>
                <a:cs typeface="Calibri" panose="020F0502020204030204" pitchFamily="34" charset="0"/>
              </a:rPr>
              <a:pPr/>
              <a:t>1470</a:t>
            </a:fld>
            <a:endParaRPr lang="en-US" sz="2600" b="1">
              <a:solidFill>
                <a:srgbClr val="002060"/>
              </a:solidFill>
              <a:latin typeface="Calibri" panose="020F0502020204030204" pitchFamily="34" charset="0"/>
              <a:cs typeface="Calibri" panose="020F0502020204030204" pitchFamily="34" charset="0"/>
            </a:endParaRPr>
          </a:p>
        </xdr:txBody>
      </xdr:sp>
      <xdr:sp macro="" textlink="">
        <xdr:nvSpPr>
          <xdr:cNvPr id="33" name="TextBox 32">
            <a:extLst>
              <a:ext uri="{FF2B5EF4-FFF2-40B4-BE49-F238E27FC236}">
                <a16:creationId xmlns:a16="http://schemas.microsoft.com/office/drawing/2014/main" id="{F2F4FA71-470F-4440-A2FF-D1C10AAD43CA}"/>
              </a:ext>
            </a:extLst>
          </xdr:cNvPr>
          <xdr:cNvSpPr txBox="1"/>
        </xdr:nvSpPr>
        <xdr:spPr>
          <a:xfrm>
            <a:off x="5476876" y="969396"/>
            <a:ext cx="2825750" cy="44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Elephant" panose="02020904090505020303" pitchFamily="18" charset="0"/>
              </a:rPr>
              <a:t>Attrition</a:t>
            </a:r>
          </a:p>
        </xdr:txBody>
      </xdr:sp>
      <xdr:sp macro="" textlink="KPI!B8">
        <xdr:nvSpPr>
          <xdr:cNvPr id="34" name="TextBox 33">
            <a:extLst>
              <a:ext uri="{FF2B5EF4-FFF2-40B4-BE49-F238E27FC236}">
                <a16:creationId xmlns:a16="http://schemas.microsoft.com/office/drawing/2014/main" id="{A98280C8-2200-44E0-B56F-3FDE589D9F82}"/>
              </a:ext>
            </a:extLst>
          </xdr:cNvPr>
          <xdr:cNvSpPr txBox="1"/>
        </xdr:nvSpPr>
        <xdr:spPr>
          <a:xfrm>
            <a:off x="6618342" y="1271426"/>
            <a:ext cx="808839" cy="488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8EACB4-87F1-4878-8C3C-091B6897F11C}" type="TxLink">
              <a:rPr lang="en-US" sz="2600" b="1" i="0" u="none" strike="noStrike">
                <a:solidFill>
                  <a:srgbClr val="002060"/>
                </a:solidFill>
                <a:latin typeface="Calibri" panose="020F0502020204030204" pitchFamily="34" charset="0"/>
                <a:ea typeface="+mn-ea"/>
                <a:cs typeface="Calibri" panose="020F0502020204030204" pitchFamily="34" charset="0"/>
              </a:rPr>
              <a:pPr marL="0" indent="0"/>
              <a:t>237</a:t>
            </a:fld>
            <a:endParaRPr lang="en-US" sz="2600" b="1" i="0" u="none" strike="noStrike">
              <a:solidFill>
                <a:srgbClr val="002060"/>
              </a:solidFill>
              <a:latin typeface="Calibri" panose="020F0502020204030204" pitchFamily="34" charset="0"/>
              <a:ea typeface="+mn-ea"/>
              <a:cs typeface="Calibri" panose="020F0502020204030204" pitchFamily="34" charset="0"/>
            </a:endParaRPr>
          </a:p>
        </xdr:txBody>
      </xdr:sp>
      <xdr:sp macro="" textlink="">
        <xdr:nvSpPr>
          <xdr:cNvPr id="2" name="TextBox 1">
            <a:extLst>
              <a:ext uri="{FF2B5EF4-FFF2-40B4-BE49-F238E27FC236}">
                <a16:creationId xmlns:a16="http://schemas.microsoft.com/office/drawing/2014/main" id="{F42A8475-8AEA-4D96-A52A-809D6534059E}"/>
              </a:ext>
            </a:extLst>
          </xdr:cNvPr>
          <xdr:cNvSpPr txBox="1"/>
        </xdr:nvSpPr>
        <xdr:spPr>
          <a:xfrm>
            <a:off x="8394283" y="947171"/>
            <a:ext cx="2236331" cy="35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Elephant" panose="02020904090505020303" pitchFamily="18" charset="0"/>
              </a:rPr>
              <a:t>Active</a:t>
            </a:r>
            <a:r>
              <a:rPr lang="en-US" sz="1600" baseline="0">
                <a:solidFill>
                  <a:srgbClr val="5F2928"/>
                </a:solidFill>
                <a:latin typeface="Elephant" panose="02020904090505020303" pitchFamily="18" charset="0"/>
              </a:rPr>
              <a:t> Employees</a:t>
            </a:r>
            <a:endParaRPr lang="en-US" sz="1600">
              <a:solidFill>
                <a:srgbClr val="5F2928"/>
              </a:solidFill>
              <a:latin typeface="Elephant" panose="02020904090505020303" pitchFamily="18" charset="0"/>
            </a:endParaRPr>
          </a:p>
        </xdr:txBody>
      </xdr:sp>
      <xdr:sp macro="" textlink="KPI!D8">
        <xdr:nvSpPr>
          <xdr:cNvPr id="4" name="TextBox 3">
            <a:extLst>
              <a:ext uri="{FF2B5EF4-FFF2-40B4-BE49-F238E27FC236}">
                <a16:creationId xmlns:a16="http://schemas.microsoft.com/office/drawing/2014/main" id="{ED5C3E03-0DB6-4A4C-81CF-91178B5ABC8E}"/>
              </a:ext>
            </a:extLst>
          </xdr:cNvPr>
          <xdr:cNvSpPr txBox="1"/>
        </xdr:nvSpPr>
        <xdr:spPr>
          <a:xfrm>
            <a:off x="9310029" y="1284696"/>
            <a:ext cx="1285909" cy="488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6B9EC4-9133-4969-9F0E-AB7365A922D8}" type="TxLink">
              <a:rPr lang="en-US" sz="2600" b="1" i="0" u="none" strike="noStrike">
                <a:solidFill>
                  <a:srgbClr val="002060"/>
                </a:solidFill>
                <a:latin typeface="Calibri" panose="020F0502020204030204" pitchFamily="34" charset="0"/>
                <a:ea typeface="+mn-ea"/>
                <a:cs typeface="Calibri" panose="020F0502020204030204" pitchFamily="34" charset="0"/>
              </a:rPr>
              <a:pPr marL="0" indent="0"/>
              <a:t>1233</a:t>
            </a:fld>
            <a:endParaRPr lang="en-US" sz="2600" b="1" i="0" u="none" strike="noStrike">
              <a:solidFill>
                <a:srgbClr val="002060"/>
              </a:solidFill>
              <a:latin typeface="Calibri" panose="020F0502020204030204" pitchFamily="34" charset="0"/>
              <a:ea typeface="+mn-ea"/>
              <a:cs typeface="Calibri" panose="020F0502020204030204" pitchFamily="34" charset="0"/>
            </a:endParaRPr>
          </a:p>
        </xdr:txBody>
      </xdr:sp>
      <xdr:sp macro="" textlink="">
        <xdr:nvSpPr>
          <xdr:cNvPr id="35" name="TextBox 34">
            <a:extLst>
              <a:ext uri="{FF2B5EF4-FFF2-40B4-BE49-F238E27FC236}">
                <a16:creationId xmlns:a16="http://schemas.microsoft.com/office/drawing/2014/main" id="{196A58EE-6D62-4EA8-B583-E66E0BF87B5E}"/>
              </a:ext>
            </a:extLst>
          </xdr:cNvPr>
          <xdr:cNvSpPr txBox="1"/>
        </xdr:nvSpPr>
        <xdr:spPr>
          <a:xfrm>
            <a:off x="11338543" y="948313"/>
            <a:ext cx="2236330" cy="35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Elephant" panose="02020904090505020303" pitchFamily="18" charset="0"/>
              </a:rPr>
              <a:t>Attrition Ratte</a:t>
            </a:r>
          </a:p>
        </xdr:txBody>
      </xdr:sp>
      <xdr:sp macro="" textlink="KPI!E8">
        <xdr:nvSpPr>
          <xdr:cNvPr id="36" name="TextBox 35">
            <a:extLst>
              <a:ext uri="{FF2B5EF4-FFF2-40B4-BE49-F238E27FC236}">
                <a16:creationId xmlns:a16="http://schemas.microsoft.com/office/drawing/2014/main" id="{2BBC61D1-DB35-4199-B6C7-C488F31314B3}"/>
              </a:ext>
            </a:extLst>
          </xdr:cNvPr>
          <xdr:cNvSpPr txBox="1"/>
        </xdr:nvSpPr>
        <xdr:spPr>
          <a:xfrm>
            <a:off x="12360954" y="1245169"/>
            <a:ext cx="1422470" cy="488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3789D4-7915-4AD1-80B8-6FE69EB12B7E}" type="TxLink">
              <a:rPr lang="en-US" sz="2600" b="1" i="0" u="none" strike="noStrike">
                <a:solidFill>
                  <a:srgbClr val="002060"/>
                </a:solidFill>
                <a:latin typeface="Calibri" panose="020F0502020204030204" pitchFamily="34" charset="0"/>
                <a:ea typeface="+mn-ea"/>
                <a:cs typeface="Calibri" panose="020F0502020204030204" pitchFamily="34" charset="0"/>
              </a:rPr>
              <a:pPr marL="0" indent="0"/>
              <a:t>16.12%</a:t>
            </a:fld>
            <a:endParaRPr lang="en-US" sz="2600" b="1" i="0" u="none" strike="noStrike">
              <a:solidFill>
                <a:srgbClr val="002060"/>
              </a:solidFill>
              <a:latin typeface="Calibri" panose="020F0502020204030204" pitchFamily="34" charset="0"/>
              <a:ea typeface="+mn-ea"/>
              <a:cs typeface="Calibri" panose="020F0502020204030204" pitchFamily="34" charset="0"/>
            </a:endParaRPr>
          </a:p>
        </xdr:txBody>
      </xdr:sp>
      <xdr:sp macro="" textlink="">
        <xdr:nvSpPr>
          <xdr:cNvPr id="37" name="TextBox 36">
            <a:extLst>
              <a:ext uri="{FF2B5EF4-FFF2-40B4-BE49-F238E27FC236}">
                <a16:creationId xmlns:a16="http://schemas.microsoft.com/office/drawing/2014/main" id="{F0B54C94-7C77-4FB2-8FBF-87BCABE0BB0A}"/>
              </a:ext>
            </a:extLst>
          </xdr:cNvPr>
          <xdr:cNvSpPr txBox="1"/>
        </xdr:nvSpPr>
        <xdr:spPr>
          <a:xfrm>
            <a:off x="14447974" y="1003679"/>
            <a:ext cx="2238293" cy="35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Elephant" panose="02020904090505020303" pitchFamily="18" charset="0"/>
              </a:rPr>
              <a:t>Average</a:t>
            </a:r>
            <a:r>
              <a:rPr lang="en-US" sz="1600" baseline="0">
                <a:solidFill>
                  <a:srgbClr val="5F2928"/>
                </a:solidFill>
                <a:latin typeface="Elephant" panose="02020904090505020303" pitchFamily="18" charset="0"/>
              </a:rPr>
              <a:t> Age</a:t>
            </a:r>
            <a:endParaRPr lang="en-US" sz="1600">
              <a:solidFill>
                <a:srgbClr val="5F2928"/>
              </a:solidFill>
              <a:latin typeface="Elephant" panose="02020904090505020303" pitchFamily="18" charset="0"/>
            </a:endParaRPr>
          </a:p>
        </xdr:txBody>
      </xdr:sp>
      <xdr:sp macro="" textlink="KPI!C8">
        <xdr:nvSpPr>
          <xdr:cNvPr id="38" name="TextBox 37">
            <a:extLst>
              <a:ext uri="{FF2B5EF4-FFF2-40B4-BE49-F238E27FC236}">
                <a16:creationId xmlns:a16="http://schemas.microsoft.com/office/drawing/2014/main" id="{C8D6849F-0924-41B0-B530-EAE02EA0F917}"/>
              </a:ext>
            </a:extLst>
          </xdr:cNvPr>
          <xdr:cNvSpPr txBox="1"/>
        </xdr:nvSpPr>
        <xdr:spPr>
          <a:xfrm>
            <a:off x="15462002" y="1289833"/>
            <a:ext cx="808839" cy="488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920EF3-9A8C-4F1B-BB75-010B8CE44F05}" type="TxLink">
              <a:rPr lang="en-US" sz="2600" b="1" i="0" u="none" strike="noStrike">
                <a:solidFill>
                  <a:srgbClr val="002060"/>
                </a:solidFill>
                <a:latin typeface="Calibri" panose="020F0502020204030204" pitchFamily="34" charset="0"/>
                <a:ea typeface="+mn-ea"/>
                <a:cs typeface="Calibri" panose="020F0502020204030204" pitchFamily="34" charset="0"/>
              </a:rPr>
              <a:pPr marL="0" indent="0"/>
              <a:t>37</a:t>
            </a:fld>
            <a:endParaRPr lang="en-US" sz="2600" b="1" i="0" u="none" strike="noStrike">
              <a:solidFill>
                <a:srgbClr val="002060"/>
              </a:solidFill>
              <a:latin typeface="Calibri" panose="020F0502020204030204" pitchFamily="34" charset="0"/>
              <a:ea typeface="+mn-ea"/>
              <a:cs typeface="Calibri" panose="020F0502020204030204" pitchFamily="34" charset="0"/>
            </a:endParaRPr>
          </a:p>
        </xdr:txBody>
      </xdr:sp>
    </xdr:grpSp>
    <xdr:clientData/>
  </xdr:twoCellAnchor>
  <xdr:oneCellAnchor>
    <xdr:from>
      <xdr:col>7</xdr:col>
      <xdr:colOff>15874</xdr:colOff>
      <xdr:row>5</xdr:row>
      <xdr:rowOff>63500</xdr:rowOff>
    </xdr:from>
    <xdr:ext cx="619125" cy="555625"/>
    <xdr:pic>
      <xdr:nvPicPr>
        <xdr:cNvPr id="40" name="image4.png">
          <a:extLst>
            <a:ext uri="{FF2B5EF4-FFF2-40B4-BE49-F238E27FC236}">
              <a16:creationId xmlns:a16="http://schemas.microsoft.com/office/drawing/2014/main" id="{2CCF6326-49D4-4858-A9CE-B4128934D58C}"/>
            </a:ext>
          </a:extLst>
        </xdr:cNvPr>
        <xdr:cNvPicPr preferRelativeResize="0"/>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100000" l="0" r="99123">
                      <a14:foregroundMark x1="22807" y1="64706" x2="22807" y2="64706"/>
                      <a14:foregroundMark x1="22807" y1="46154" x2="22807" y2="46154"/>
                      <a14:foregroundMark x1="45614" y1="49321" x2="45614" y2="49321"/>
                      <a14:foregroundMark x1="80263" y1="68778" x2="80263" y2="68778"/>
                      <a14:foregroundMark x1="81579" y1="42986" x2="81579" y2="42986"/>
                      <a14:foregroundMark x1="69737" y1="21719" x2="69737" y2="21719"/>
                      <a14:foregroundMark x1="64035" y1="33484" x2="64035" y2="33484"/>
                      <a14:foregroundMark x1="35965" y1="14932" x2="35965" y2="14932"/>
                      <a14:foregroundMark x1="33772" y1="33484" x2="33772" y2="33484"/>
                    </a14:backgroundRemoval>
                  </a14:imgEffect>
                </a14:imgLayer>
              </a14:imgProps>
            </a:ext>
          </a:extLst>
        </a:blip>
        <a:stretch>
          <a:fillRect/>
        </a:stretch>
      </xdr:blipFill>
      <xdr:spPr>
        <a:xfrm>
          <a:off x="4571999" y="1016000"/>
          <a:ext cx="619125" cy="555625"/>
        </a:xfrm>
        <a:prstGeom prst="rect">
          <a:avLst/>
        </a:prstGeom>
        <a:noFill/>
      </xdr:spPr>
    </xdr:pic>
    <xdr:clientData fLocksWithSheet="0"/>
  </xdr:oneCellAnchor>
  <xdr:oneCellAnchor>
    <xdr:from>
      <xdr:col>11</xdr:col>
      <xdr:colOff>222249</xdr:colOff>
      <xdr:row>4</xdr:row>
      <xdr:rowOff>79375</xdr:rowOff>
    </xdr:from>
    <xdr:ext cx="1031875" cy="857250"/>
    <xdr:pic>
      <xdr:nvPicPr>
        <xdr:cNvPr id="41" name="image7.png">
          <a:extLst>
            <a:ext uri="{FF2B5EF4-FFF2-40B4-BE49-F238E27FC236}">
              <a16:creationId xmlns:a16="http://schemas.microsoft.com/office/drawing/2014/main" id="{8E2E4D85-5DE2-4BE6-817B-C89E69695808}"/>
            </a:ext>
          </a:extLst>
        </xdr:cNvPr>
        <xdr:cNvPicPr preferRelativeResize="0"/>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foregroundMark x1="29000" y1="41250" x2="29000" y2="41250"/>
                      <a14:foregroundMark x1="45625" y1="42125" x2="45625" y2="42125"/>
                      <a14:foregroundMark x1="45625" y1="48875" x2="45625" y2="48875"/>
                      <a14:foregroundMark x1="59875" y1="60625" x2="59875" y2="60625"/>
                      <a14:foregroundMark x1="74500" y1="63000" x2="74500" y2="63000"/>
                      <a14:foregroundMark x1="74500" y1="47375" x2="74500" y2="47375"/>
                      <a14:foregroundMark x1="56000" y1="35125" x2="56000" y2="35125"/>
                      <a14:foregroundMark x1="46500" y1="29375" x2="46500" y2="29375"/>
                      <a14:foregroundMark x1="29875" y1="28375" x2="29875" y2="28375"/>
                      <a14:foregroundMark x1="53625" y1="41750" x2="53625" y2="41750"/>
                      <a14:foregroundMark x1="55500" y1="38375" x2="57000" y2="38375"/>
                      <a14:foregroundMark x1="61750" y1="40250" x2="61750" y2="40250"/>
                      <a14:foregroundMark x1="63625" y1="43125" x2="65500" y2="45000"/>
                      <a14:foregroundMark x1="71750" y1="46000" x2="71750" y2="46000"/>
                      <a14:foregroundMark x1="69375" y1="46000" x2="69375" y2="46000"/>
                      <a14:foregroundMark x1="61250" y1="47875" x2="61250" y2="47875"/>
                      <a14:foregroundMark x1="55500" y1="47375" x2="55500" y2="47375"/>
                      <a14:foregroundMark x1="46500" y1="44125" x2="46500" y2="44125"/>
                      <a14:foregroundMark x1="41250" y1="43125" x2="41250" y2="43125"/>
                      <a14:foregroundMark x1="29000" y1="41250" x2="29000" y2="41250"/>
                      <a14:foregroundMark x1="26625" y1="37500" x2="26625" y2="37500"/>
                      <a14:foregroundMark x1="28000" y1="33625" x2="28000" y2="33625"/>
                      <a14:foregroundMark x1="28000" y1="29375" x2="28000" y2="29375"/>
                    </a14:backgroundRemoval>
                  </a14:imgEffect>
                </a14:imgLayer>
              </a14:imgProps>
            </a:ext>
          </a:extLst>
        </a:blip>
        <a:stretch>
          <a:fillRect/>
        </a:stretch>
      </xdr:blipFill>
      <xdr:spPr>
        <a:xfrm>
          <a:off x="7381874" y="841375"/>
          <a:ext cx="1031875" cy="857250"/>
        </a:xfrm>
        <a:prstGeom prst="rect">
          <a:avLst/>
        </a:prstGeom>
        <a:noFill/>
      </xdr:spPr>
    </xdr:pic>
    <xdr:clientData fLocksWithSheet="0"/>
  </xdr:oneCellAnchor>
  <xdr:oneCellAnchor>
    <xdr:from>
      <xdr:col>16</xdr:col>
      <xdr:colOff>47625</xdr:colOff>
      <xdr:row>5</xdr:row>
      <xdr:rowOff>95249</xdr:rowOff>
    </xdr:from>
    <xdr:ext cx="641350" cy="460375"/>
    <xdr:pic>
      <xdr:nvPicPr>
        <xdr:cNvPr id="42" name="image5.png">
          <a:extLst>
            <a:ext uri="{FF2B5EF4-FFF2-40B4-BE49-F238E27FC236}">
              <a16:creationId xmlns:a16="http://schemas.microsoft.com/office/drawing/2014/main" id="{16D46BCA-79C1-4B67-BC00-77F5C67D35D9}"/>
            </a:ext>
          </a:extLst>
        </xdr:cNvPr>
        <xdr:cNvPicPr preferRelativeResize="0"/>
      </xdr:nvPicPr>
      <xdr:blipFill>
        <a:blip xmlns:r="http://schemas.openxmlformats.org/officeDocument/2006/relationships" r:embed="rId5" cstate="print"/>
        <a:stretch>
          <a:fillRect/>
        </a:stretch>
      </xdr:blipFill>
      <xdr:spPr>
        <a:xfrm>
          <a:off x="10461625" y="1047749"/>
          <a:ext cx="641350" cy="460375"/>
        </a:xfrm>
        <a:prstGeom prst="rect">
          <a:avLst/>
        </a:prstGeom>
        <a:noFill/>
      </xdr:spPr>
    </xdr:pic>
    <xdr:clientData fLocksWithSheet="0"/>
  </xdr:oneCellAnchor>
  <xdr:oneCellAnchor>
    <xdr:from>
      <xdr:col>20</xdr:col>
      <xdr:colOff>412751</xdr:colOff>
      <xdr:row>5</xdr:row>
      <xdr:rowOff>127001</xdr:rowOff>
    </xdr:from>
    <xdr:ext cx="644524" cy="460374"/>
    <xdr:pic>
      <xdr:nvPicPr>
        <xdr:cNvPr id="43" name="image2.png">
          <a:extLst>
            <a:ext uri="{FF2B5EF4-FFF2-40B4-BE49-F238E27FC236}">
              <a16:creationId xmlns:a16="http://schemas.microsoft.com/office/drawing/2014/main" id="{AB0B43AB-554D-4ED7-9AD3-1F3E04D60A6D}"/>
            </a:ext>
          </a:extLst>
        </xdr:cNvPr>
        <xdr:cNvPicPr preferRelativeResize="0"/>
      </xdr:nvPicPr>
      <xdr:blipFill>
        <a:blip xmlns:r="http://schemas.openxmlformats.org/officeDocument/2006/relationships" r:embed="rId6" cstate="print"/>
        <a:stretch>
          <a:fillRect/>
        </a:stretch>
      </xdr:blipFill>
      <xdr:spPr>
        <a:xfrm>
          <a:off x="13430251" y="1079501"/>
          <a:ext cx="644524" cy="460374"/>
        </a:xfrm>
        <a:prstGeom prst="rect">
          <a:avLst/>
        </a:prstGeom>
        <a:noFill/>
      </xdr:spPr>
    </xdr:pic>
    <xdr:clientData fLocksWithSheet="0"/>
  </xdr:oneCellAnchor>
  <xdr:oneCellAnchor>
    <xdr:from>
      <xdr:col>25</xdr:col>
      <xdr:colOff>206375</xdr:colOff>
      <xdr:row>5</xdr:row>
      <xdr:rowOff>47625</xdr:rowOff>
    </xdr:from>
    <xdr:ext cx="581026" cy="555625"/>
    <xdr:pic>
      <xdr:nvPicPr>
        <xdr:cNvPr id="44" name="image6.png">
          <a:extLst>
            <a:ext uri="{FF2B5EF4-FFF2-40B4-BE49-F238E27FC236}">
              <a16:creationId xmlns:a16="http://schemas.microsoft.com/office/drawing/2014/main" id="{8A684FE8-8716-48F1-865C-F86111A54A90}"/>
            </a:ext>
          </a:extLst>
        </xdr:cNvPr>
        <xdr:cNvPicPr preferRelativeResize="0"/>
      </xdr:nvPicPr>
      <xdr:blipFill>
        <a:blip xmlns:r="http://schemas.openxmlformats.org/officeDocument/2006/relationships" r:embed="rId7" cstate="print"/>
        <a:stretch>
          <a:fillRect/>
        </a:stretch>
      </xdr:blipFill>
      <xdr:spPr>
        <a:xfrm>
          <a:off x="16478250" y="1000125"/>
          <a:ext cx="581026" cy="555625"/>
        </a:xfrm>
        <a:prstGeom prst="rect">
          <a:avLst/>
        </a:prstGeom>
        <a:noFill/>
      </xdr:spPr>
    </xdr:pic>
    <xdr:clientData fLocksWithSheet="0"/>
  </xdr:oneCellAnchor>
  <xdr:twoCellAnchor>
    <xdr:from>
      <xdr:col>5</xdr:col>
      <xdr:colOff>222250</xdr:colOff>
      <xdr:row>1</xdr:row>
      <xdr:rowOff>15875</xdr:rowOff>
    </xdr:from>
    <xdr:to>
      <xdr:col>16</xdr:col>
      <xdr:colOff>476250</xdr:colOff>
      <xdr:row>4</xdr:row>
      <xdr:rowOff>0</xdr:rowOff>
    </xdr:to>
    <xdr:sp macro="" textlink="">
      <xdr:nvSpPr>
        <xdr:cNvPr id="45" name="TextBox 44">
          <a:extLst>
            <a:ext uri="{FF2B5EF4-FFF2-40B4-BE49-F238E27FC236}">
              <a16:creationId xmlns:a16="http://schemas.microsoft.com/office/drawing/2014/main" id="{9C658D9F-2CEB-DE6C-A059-86D6E8A03030}"/>
            </a:ext>
          </a:extLst>
        </xdr:cNvPr>
        <xdr:cNvSpPr txBox="1"/>
      </xdr:nvSpPr>
      <xdr:spPr>
        <a:xfrm>
          <a:off x="3476625" y="206375"/>
          <a:ext cx="7413625"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rgbClr val="002060"/>
              </a:solidFill>
              <a:latin typeface="Arial Black" panose="020B0A04020102020204" pitchFamily="34" charset="0"/>
            </a:rPr>
            <a:t>HR ANALYSTICS</a:t>
          </a:r>
          <a:r>
            <a:rPr lang="en-US" sz="3200" baseline="0">
              <a:solidFill>
                <a:srgbClr val="002060"/>
              </a:solidFill>
              <a:latin typeface="Arial Black" panose="020B0A04020102020204" pitchFamily="34" charset="0"/>
            </a:rPr>
            <a:t> DASHBOARD</a:t>
          </a:r>
          <a:endParaRPr lang="en-US" sz="3200">
            <a:solidFill>
              <a:srgbClr val="002060"/>
            </a:solidFill>
            <a:latin typeface="Arial Black" panose="020B0A04020102020204" pitchFamily="34" charset="0"/>
          </a:endParaRPr>
        </a:p>
      </xdr:txBody>
    </xdr:sp>
    <xdr:clientData/>
  </xdr:twoCellAnchor>
  <xdr:oneCellAnchor>
    <xdr:from>
      <xdr:col>4</xdr:col>
      <xdr:colOff>57580</xdr:colOff>
      <xdr:row>0</xdr:row>
      <xdr:rowOff>158750</xdr:rowOff>
    </xdr:from>
    <xdr:ext cx="1053670" cy="666750"/>
    <xdr:pic>
      <xdr:nvPicPr>
        <xdr:cNvPr id="46" name="image1.png">
          <a:extLst>
            <a:ext uri="{FF2B5EF4-FFF2-40B4-BE49-F238E27FC236}">
              <a16:creationId xmlns:a16="http://schemas.microsoft.com/office/drawing/2014/main" id="{803660B2-6DAC-440D-AA18-9F7227593C30}"/>
            </a:ext>
          </a:extLst>
        </xdr:cNvPr>
        <xdr:cNvPicPr preferRelativeResize="0"/>
      </xdr:nvPicPr>
      <xdr:blipFill>
        <a:blip xmlns:r="http://schemas.openxmlformats.org/officeDocument/2006/relationships" r:embed="rId8" cstate="print"/>
        <a:stretch>
          <a:fillRect/>
        </a:stretch>
      </xdr:blipFill>
      <xdr:spPr>
        <a:xfrm>
          <a:off x="2661080" y="158750"/>
          <a:ext cx="1053670" cy="666750"/>
        </a:xfrm>
        <a:prstGeom prst="rect">
          <a:avLst/>
        </a:prstGeom>
        <a:noFill/>
      </xdr:spPr>
    </xdr:pic>
    <xdr:clientData fLocksWithSheet="0"/>
  </xdr:oneCellAnchor>
  <xdr:oneCellAnchor>
    <xdr:from>
      <xdr:col>17</xdr:col>
      <xdr:colOff>121079</xdr:colOff>
      <xdr:row>1</xdr:row>
      <xdr:rowOff>15875</xdr:rowOff>
    </xdr:from>
    <xdr:ext cx="1323545" cy="603249"/>
    <xdr:pic>
      <xdr:nvPicPr>
        <xdr:cNvPr id="47" name="image3.png">
          <a:extLst>
            <a:ext uri="{FF2B5EF4-FFF2-40B4-BE49-F238E27FC236}">
              <a16:creationId xmlns:a16="http://schemas.microsoft.com/office/drawing/2014/main" id="{B33EADC1-ACF4-4F37-8478-A3BC309E355F}"/>
            </a:ext>
          </a:extLst>
        </xdr:cNvPr>
        <xdr:cNvPicPr preferRelativeResize="0"/>
      </xdr:nvPicPr>
      <xdr:blipFill>
        <a:blip xmlns:r="http://schemas.openxmlformats.org/officeDocument/2006/relationships" r:embed="rId9" cstate="print"/>
        <a:stretch>
          <a:fillRect/>
        </a:stretch>
      </xdr:blipFill>
      <xdr:spPr>
        <a:xfrm>
          <a:off x="11185954" y="206375"/>
          <a:ext cx="1323545" cy="603249"/>
        </a:xfrm>
        <a:prstGeom prst="rect">
          <a:avLst/>
        </a:prstGeom>
        <a:noFill/>
      </xdr:spPr>
    </xdr:pic>
    <xdr:clientData fLocksWithSheet="0"/>
  </xdr:oneCellAnchor>
  <xdr:twoCellAnchor>
    <xdr:from>
      <xdr:col>19</xdr:col>
      <xdr:colOff>0</xdr:colOff>
      <xdr:row>0</xdr:row>
      <xdr:rowOff>142875</xdr:rowOff>
    </xdr:from>
    <xdr:to>
      <xdr:col>22</xdr:col>
      <xdr:colOff>206375</xdr:colOff>
      <xdr:row>4</xdr:row>
      <xdr:rowOff>79375</xdr:rowOff>
    </xdr:to>
    <xdr:sp macro="" textlink="">
      <xdr:nvSpPr>
        <xdr:cNvPr id="48" name="TextBox 47">
          <a:extLst>
            <a:ext uri="{FF2B5EF4-FFF2-40B4-BE49-F238E27FC236}">
              <a16:creationId xmlns:a16="http://schemas.microsoft.com/office/drawing/2014/main" id="{48A18979-2A3D-4E00-D1E8-920A157DB011}"/>
            </a:ext>
          </a:extLst>
        </xdr:cNvPr>
        <xdr:cNvSpPr txBox="1"/>
      </xdr:nvSpPr>
      <xdr:spPr>
        <a:xfrm>
          <a:off x="12366625" y="142875"/>
          <a:ext cx="21590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5F2928"/>
              </a:solidFill>
              <a:latin typeface="Arial Black" panose="020B0A04020102020204" pitchFamily="34" charset="0"/>
            </a:rPr>
            <a:t>JOB</a:t>
          </a:r>
          <a:r>
            <a:rPr lang="en-US" sz="1200" baseline="0">
              <a:solidFill>
                <a:srgbClr val="5F2928"/>
              </a:solidFill>
              <a:latin typeface="Arial Black" panose="020B0A04020102020204" pitchFamily="34" charset="0"/>
            </a:rPr>
            <a:t> SATISFACTION RATING</a:t>
          </a:r>
          <a:endParaRPr lang="en-US" sz="1200">
            <a:solidFill>
              <a:srgbClr val="5F2928"/>
            </a:solidFill>
            <a:latin typeface="Arial Black" panose="020B0A04020102020204" pitchFamily="34" charset="0"/>
          </a:endParaRPr>
        </a:p>
      </xdr:txBody>
    </xdr:sp>
    <xdr:clientData/>
  </xdr:twoCellAnchor>
  <xdr:twoCellAnchor>
    <xdr:from>
      <xdr:col>21</xdr:col>
      <xdr:colOff>31750</xdr:colOff>
      <xdr:row>0</xdr:row>
      <xdr:rowOff>0</xdr:rowOff>
    </xdr:from>
    <xdr:to>
      <xdr:col>24</xdr:col>
      <xdr:colOff>285751</xdr:colOff>
      <xdr:row>4</xdr:row>
      <xdr:rowOff>158750</xdr:rowOff>
    </xdr:to>
    <xdr:graphicFrame macro="">
      <xdr:nvGraphicFramePr>
        <xdr:cNvPr id="49" name="Chart 48">
          <a:extLst>
            <a:ext uri="{FF2B5EF4-FFF2-40B4-BE49-F238E27FC236}">
              <a16:creationId xmlns:a16="http://schemas.microsoft.com/office/drawing/2014/main" id="{1169777C-C151-4104-8098-77F182430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47623</xdr:colOff>
      <xdr:row>0</xdr:row>
      <xdr:rowOff>31750</xdr:rowOff>
    </xdr:from>
    <xdr:to>
      <xdr:col>26</xdr:col>
      <xdr:colOff>206375</xdr:colOff>
      <xdr:row>4</xdr:row>
      <xdr:rowOff>174625</xdr:rowOff>
    </xdr:to>
    <xdr:graphicFrame macro="">
      <xdr:nvGraphicFramePr>
        <xdr:cNvPr id="50" name="Chart 49">
          <a:extLst>
            <a:ext uri="{FF2B5EF4-FFF2-40B4-BE49-F238E27FC236}">
              <a16:creationId xmlns:a16="http://schemas.microsoft.com/office/drawing/2014/main" id="{F7280969-A588-4D19-BC94-12B4502A9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127001</xdr:colOff>
      <xdr:row>0</xdr:row>
      <xdr:rowOff>142875</xdr:rowOff>
    </xdr:from>
    <xdr:to>
      <xdr:col>25</xdr:col>
      <xdr:colOff>460375</xdr:colOff>
      <xdr:row>4</xdr:row>
      <xdr:rowOff>79376</xdr:rowOff>
    </xdr:to>
    <xdr:sp macro="" textlink="">
      <xdr:nvSpPr>
        <xdr:cNvPr id="51" name="Freeform: Shape 50">
          <a:extLst>
            <a:ext uri="{FF2B5EF4-FFF2-40B4-BE49-F238E27FC236}">
              <a16:creationId xmlns:a16="http://schemas.microsoft.com/office/drawing/2014/main" id="{915C2BD8-A1EB-B2E9-30F7-0BAADC046F8A}"/>
            </a:ext>
          </a:extLst>
        </xdr:cNvPr>
        <xdr:cNvSpPr/>
      </xdr:nvSpPr>
      <xdr:spPr>
        <a:xfrm>
          <a:off x="15065376" y="142875"/>
          <a:ext cx="1635124" cy="698501"/>
        </a:xfrm>
        <a:custGeom>
          <a:avLst/>
          <a:gdLst>
            <a:gd name="connsiteX0" fmla="*/ 0 w 2719752"/>
            <a:gd name="connsiteY0" fmla="*/ 0 h 719912"/>
            <a:gd name="connsiteX1" fmla="*/ 309489 w 2719752"/>
            <a:gd name="connsiteY1" fmla="*/ 0 h 719912"/>
            <a:gd name="connsiteX2" fmla="*/ 236430 w 2719752"/>
            <a:gd name="connsiteY2" fmla="*/ 225682 h 719912"/>
            <a:gd name="connsiteX3" fmla="*/ 1 w 2719752"/>
            <a:gd name="connsiteY3" fmla="*/ 225680 h 719912"/>
            <a:gd name="connsiteX4" fmla="*/ 191277 w 2719752"/>
            <a:gd name="connsiteY4" fmla="*/ 365159 h 719912"/>
            <a:gd name="connsiteX5" fmla="*/ 118215 w 2719752"/>
            <a:gd name="connsiteY5" fmla="*/ 590840 h 719912"/>
            <a:gd name="connsiteX6" fmla="*/ 309489 w 2719752"/>
            <a:gd name="connsiteY6" fmla="*/ 451360 h 719912"/>
            <a:gd name="connsiteX7" fmla="*/ 500763 w 2719752"/>
            <a:gd name="connsiteY7" fmla="*/ 590840 h 719912"/>
            <a:gd name="connsiteX8" fmla="*/ 427701 w 2719752"/>
            <a:gd name="connsiteY8" fmla="*/ 365159 h 719912"/>
            <a:gd name="connsiteX9" fmla="*/ 618977 w 2719752"/>
            <a:gd name="connsiteY9" fmla="*/ 225680 h 719912"/>
            <a:gd name="connsiteX10" fmla="*/ 382548 w 2719752"/>
            <a:gd name="connsiteY10" fmla="*/ 225682 h 719912"/>
            <a:gd name="connsiteX11" fmla="*/ 309490 w 2719752"/>
            <a:gd name="connsiteY11" fmla="*/ 0 h 719912"/>
            <a:gd name="connsiteX12" fmla="*/ 1009747 w 2719752"/>
            <a:gd name="connsiteY12" fmla="*/ 0 h 719912"/>
            <a:gd name="connsiteX13" fmla="*/ 936688 w 2719752"/>
            <a:gd name="connsiteY13" fmla="*/ 225682 h 719912"/>
            <a:gd name="connsiteX14" fmla="*/ 700259 w 2719752"/>
            <a:gd name="connsiteY14" fmla="*/ 225680 h 719912"/>
            <a:gd name="connsiteX15" fmla="*/ 891535 w 2719752"/>
            <a:gd name="connsiteY15" fmla="*/ 365159 h 719912"/>
            <a:gd name="connsiteX16" fmla="*/ 818473 w 2719752"/>
            <a:gd name="connsiteY16" fmla="*/ 590840 h 719912"/>
            <a:gd name="connsiteX17" fmla="*/ 1009747 w 2719752"/>
            <a:gd name="connsiteY17" fmla="*/ 451360 h 719912"/>
            <a:gd name="connsiteX18" fmla="*/ 1201021 w 2719752"/>
            <a:gd name="connsiteY18" fmla="*/ 590840 h 719912"/>
            <a:gd name="connsiteX19" fmla="*/ 1127959 w 2719752"/>
            <a:gd name="connsiteY19" fmla="*/ 365159 h 719912"/>
            <a:gd name="connsiteX20" fmla="*/ 1319235 w 2719752"/>
            <a:gd name="connsiteY20" fmla="*/ 225680 h 719912"/>
            <a:gd name="connsiteX21" fmla="*/ 1082806 w 2719752"/>
            <a:gd name="connsiteY21" fmla="*/ 225682 h 719912"/>
            <a:gd name="connsiteX22" fmla="*/ 1009747 w 2719752"/>
            <a:gd name="connsiteY22" fmla="*/ 0 h 719912"/>
            <a:gd name="connsiteX23" fmla="*/ 1710005 w 2719752"/>
            <a:gd name="connsiteY23" fmla="*/ 0 h 719912"/>
            <a:gd name="connsiteX24" fmla="*/ 1636946 w 2719752"/>
            <a:gd name="connsiteY24" fmla="*/ 225682 h 719912"/>
            <a:gd name="connsiteX25" fmla="*/ 1400517 w 2719752"/>
            <a:gd name="connsiteY25" fmla="*/ 225680 h 719912"/>
            <a:gd name="connsiteX26" fmla="*/ 1591793 w 2719752"/>
            <a:gd name="connsiteY26" fmla="*/ 365159 h 719912"/>
            <a:gd name="connsiteX27" fmla="*/ 1518731 w 2719752"/>
            <a:gd name="connsiteY27" fmla="*/ 590840 h 719912"/>
            <a:gd name="connsiteX28" fmla="*/ 1710005 w 2719752"/>
            <a:gd name="connsiteY28" fmla="*/ 451360 h 719912"/>
            <a:gd name="connsiteX29" fmla="*/ 1901279 w 2719752"/>
            <a:gd name="connsiteY29" fmla="*/ 590840 h 719912"/>
            <a:gd name="connsiteX30" fmla="*/ 1828217 w 2719752"/>
            <a:gd name="connsiteY30" fmla="*/ 365159 h 719912"/>
            <a:gd name="connsiteX31" fmla="*/ 2019493 w 2719752"/>
            <a:gd name="connsiteY31" fmla="*/ 225680 h 719912"/>
            <a:gd name="connsiteX32" fmla="*/ 1783064 w 2719752"/>
            <a:gd name="connsiteY32" fmla="*/ 225682 h 719912"/>
            <a:gd name="connsiteX33" fmla="*/ 1710006 w 2719752"/>
            <a:gd name="connsiteY33" fmla="*/ 0 h 719912"/>
            <a:gd name="connsiteX34" fmla="*/ 2410263 w 2719752"/>
            <a:gd name="connsiteY34" fmla="*/ 0 h 719912"/>
            <a:gd name="connsiteX35" fmla="*/ 2337204 w 2719752"/>
            <a:gd name="connsiteY35" fmla="*/ 225682 h 719912"/>
            <a:gd name="connsiteX36" fmla="*/ 2100775 w 2719752"/>
            <a:gd name="connsiteY36" fmla="*/ 225680 h 719912"/>
            <a:gd name="connsiteX37" fmla="*/ 2292051 w 2719752"/>
            <a:gd name="connsiteY37" fmla="*/ 365159 h 719912"/>
            <a:gd name="connsiteX38" fmla="*/ 2218989 w 2719752"/>
            <a:gd name="connsiteY38" fmla="*/ 590840 h 719912"/>
            <a:gd name="connsiteX39" fmla="*/ 2410263 w 2719752"/>
            <a:gd name="connsiteY39" fmla="*/ 451360 h 719912"/>
            <a:gd name="connsiteX40" fmla="*/ 2601537 w 2719752"/>
            <a:gd name="connsiteY40" fmla="*/ 590840 h 719912"/>
            <a:gd name="connsiteX41" fmla="*/ 2528475 w 2719752"/>
            <a:gd name="connsiteY41" fmla="*/ 365159 h 719912"/>
            <a:gd name="connsiteX42" fmla="*/ 2719751 w 2719752"/>
            <a:gd name="connsiteY42" fmla="*/ 225680 h 719912"/>
            <a:gd name="connsiteX43" fmla="*/ 2483322 w 2719752"/>
            <a:gd name="connsiteY43" fmla="*/ 225682 h 719912"/>
            <a:gd name="connsiteX44" fmla="*/ 2410264 w 2719752"/>
            <a:gd name="connsiteY44" fmla="*/ 0 h 719912"/>
            <a:gd name="connsiteX45" fmla="*/ 2719752 w 2719752"/>
            <a:gd name="connsiteY45" fmla="*/ 0 h 719912"/>
            <a:gd name="connsiteX46" fmla="*/ 2719752 w 2719752"/>
            <a:gd name="connsiteY46" fmla="*/ 719912 h 719912"/>
            <a:gd name="connsiteX47" fmla="*/ 0 w 2719752"/>
            <a:gd name="connsiteY47" fmla="*/ 719912 h 7199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2719752" h="719912">
              <a:moveTo>
                <a:pt x="0" y="0"/>
              </a:moveTo>
              <a:lnTo>
                <a:pt x="309489" y="0"/>
              </a:lnTo>
              <a:lnTo>
                <a:pt x="236430" y="225682"/>
              </a:lnTo>
              <a:lnTo>
                <a:pt x="1" y="225680"/>
              </a:lnTo>
              <a:lnTo>
                <a:pt x="191277" y="365159"/>
              </a:lnTo>
              <a:lnTo>
                <a:pt x="118215" y="590840"/>
              </a:lnTo>
              <a:lnTo>
                <a:pt x="309489" y="451360"/>
              </a:lnTo>
              <a:lnTo>
                <a:pt x="500763" y="590840"/>
              </a:lnTo>
              <a:lnTo>
                <a:pt x="427701" y="365159"/>
              </a:lnTo>
              <a:lnTo>
                <a:pt x="618977" y="225680"/>
              </a:lnTo>
              <a:lnTo>
                <a:pt x="382548" y="225682"/>
              </a:lnTo>
              <a:lnTo>
                <a:pt x="309490" y="0"/>
              </a:lnTo>
              <a:lnTo>
                <a:pt x="1009747" y="0"/>
              </a:lnTo>
              <a:lnTo>
                <a:pt x="936688" y="225682"/>
              </a:lnTo>
              <a:lnTo>
                <a:pt x="700259" y="225680"/>
              </a:lnTo>
              <a:lnTo>
                <a:pt x="891535" y="365159"/>
              </a:lnTo>
              <a:lnTo>
                <a:pt x="818473" y="590840"/>
              </a:lnTo>
              <a:lnTo>
                <a:pt x="1009747" y="451360"/>
              </a:lnTo>
              <a:lnTo>
                <a:pt x="1201021" y="590840"/>
              </a:lnTo>
              <a:lnTo>
                <a:pt x="1127959" y="365159"/>
              </a:lnTo>
              <a:lnTo>
                <a:pt x="1319235" y="225680"/>
              </a:lnTo>
              <a:lnTo>
                <a:pt x="1082806" y="225682"/>
              </a:lnTo>
              <a:lnTo>
                <a:pt x="1009747" y="0"/>
              </a:lnTo>
              <a:lnTo>
                <a:pt x="1710005" y="0"/>
              </a:lnTo>
              <a:lnTo>
                <a:pt x="1636946" y="225682"/>
              </a:lnTo>
              <a:lnTo>
                <a:pt x="1400517" y="225680"/>
              </a:lnTo>
              <a:lnTo>
                <a:pt x="1591793" y="365159"/>
              </a:lnTo>
              <a:lnTo>
                <a:pt x="1518731" y="590840"/>
              </a:lnTo>
              <a:lnTo>
                <a:pt x="1710005" y="451360"/>
              </a:lnTo>
              <a:lnTo>
                <a:pt x="1901279" y="590840"/>
              </a:lnTo>
              <a:lnTo>
                <a:pt x="1828217" y="365159"/>
              </a:lnTo>
              <a:lnTo>
                <a:pt x="2019493" y="225680"/>
              </a:lnTo>
              <a:lnTo>
                <a:pt x="1783064" y="225682"/>
              </a:lnTo>
              <a:lnTo>
                <a:pt x="1710006" y="0"/>
              </a:lnTo>
              <a:lnTo>
                <a:pt x="2410263" y="0"/>
              </a:lnTo>
              <a:lnTo>
                <a:pt x="2337204" y="225682"/>
              </a:lnTo>
              <a:lnTo>
                <a:pt x="2100775" y="225680"/>
              </a:lnTo>
              <a:lnTo>
                <a:pt x="2292051" y="365159"/>
              </a:lnTo>
              <a:lnTo>
                <a:pt x="2218989" y="590840"/>
              </a:lnTo>
              <a:lnTo>
                <a:pt x="2410263" y="451360"/>
              </a:lnTo>
              <a:lnTo>
                <a:pt x="2601537" y="590840"/>
              </a:lnTo>
              <a:lnTo>
                <a:pt x="2528475" y="365159"/>
              </a:lnTo>
              <a:lnTo>
                <a:pt x="2719751" y="225680"/>
              </a:lnTo>
              <a:lnTo>
                <a:pt x="2483322" y="225682"/>
              </a:lnTo>
              <a:lnTo>
                <a:pt x="2410264" y="0"/>
              </a:lnTo>
              <a:lnTo>
                <a:pt x="2719752" y="0"/>
              </a:lnTo>
              <a:lnTo>
                <a:pt x="2719752" y="719912"/>
              </a:lnTo>
              <a:lnTo>
                <a:pt x="0" y="719912"/>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467593</xdr:colOff>
      <xdr:row>16</xdr:row>
      <xdr:rowOff>83354</xdr:rowOff>
    </xdr:from>
    <xdr:to>
      <xdr:col>10</xdr:col>
      <xdr:colOff>398318</xdr:colOff>
      <xdr:row>24</xdr:row>
      <xdr:rowOff>61666</xdr:rowOff>
    </xdr:to>
    <xdr:grpSp>
      <xdr:nvGrpSpPr>
        <xdr:cNvPr id="57" name="Group 56">
          <a:extLst>
            <a:ext uri="{FF2B5EF4-FFF2-40B4-BE49-F238E27FC236}">
              <a16:creationId xmlns:a16="http://schemas.microsoft.com/office/drawing/2014/main" id="{C6DF572B-2192-00E1-FD41-1F910B40A1B9}"/>
            </a:ext>
          </a:extLst>
        </xdr:cNvPr>
        <xdr:cNvGrpSpPr/>
      </xdr:nvGrpSpPr>
      <xdr:grpSpPr>
        <a:xfrm>
          <a:off x="2410693" y="3131354"/>
          <a:ext cx="4464625" cy="1502312"/>
          <a:chOff x="2278227" y="3038550"/>
          <a:chExt cx="4338926" cy="1599818"/>
        </a:xfrm>
      </xdr:grpSpPr>
      <xdr:graphicFrame macro="">
        <xdr:nvGraphicFramePr>
          <xdr:cNvPr id="53" name="Chart 52">
            <a:extLst>
              <a:ext uri="{FF2B5EF4-FFF2-40B4-BE49-F238E27FC236}">
                <a16:creationId xmlns:a16="http://schemas.microsoft.com/office/drawing/2014/main" id="{FE47470D-BACC-4F14-B7BD-10AB96C8C431}"/>
              </a:ext>
            </a:extLst>
          </xdr:cNvPr>
          <xdr:cNvGraphicFramePr>
            <a:graphicFrameLocks/>
          </xdr:cNvGraphicFramePr>
        </xdr:nvGraphicFramePr>
        <xdr:xfrm>
          <a:off x="2278227" y="3078881"/>
          <a:ext cx="1785133" cy="155948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4" name="Chart 53">
            <a:extLst>
              <a:ext uri="{FF2B5EF4-FFF2-40B4-BE49-F238E27FC236}">
                <a16:creationId xmlns:a16="http://schemas.microsoft.com/office/drawing/2014/main" id="{B561BB89-FD28-4FF4-A88F-DD4316657A02}"/>
              </a:ext>
            </a:extLst>
          </xdr:cNvPr>
          <xdr:cNvGraphicFramePr>
            <a:graphicFrameLocks/>
          </xdr:cNvGraphicFramePr>
        </xdr:nvGraphicFramePr>
        <xdr:xfrm>
          <a:off x="4538575" y="3038550"/>
          <a:ext cx="2078578" cy="1589477"/>
        </xdr:xfrm>
        <a:graphic>
          <a:graphicData uri="http://schemas.openxmlformats.org/drawingml/2006/chart">
            <c:chart xmlns:c="http://schemas.openxmlformats.org/drawingml/2006/chart" xmlns:r="http://schemas.openxmlformats.org/officeDocument/2006/relationships" r:id="rId13"/>
          </a:graphicData>
        </a:graphic>
      </xdr:graphicFrame>
      <xdr:sp macro="" textlink="Gender!B10">
        <xdr:nvSpPr>
          <xdr:cNvPr id="56" name="TextBox 1">
            <a:extLst>
              <a:ext uri="{FF2B5EF4-FFF2-40B4-BE49-F238E27FC236}">
                <a16:creationId xmlns:a16="http://schemas.microsoft.com/office/drawing/2014/main" id="{E3A84DBA-9869-5928-B3A6-B9B4CDB4DEFD}"/>
              </a:ext>
            </a:extLst>
          </xdr:cNvPr>
          <xdr:cNvSpPr txBox="1"/>
        </xdr:nvSpPr>
        <xdr:spPr>
          <a:xfrm>
            <a:off x="2874818" y="3605461"/>
            <a:ext cx="738420"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fld id="{CAC00C52-0B56-4E2F-8126-2C53F2A46991}" type="TxLink">
              <a:rPr lang="en-US" sz="2600" b="1" i="0" u="none" strike="noStrike">
                <a:solidFill>
                  <a:srgbClr val="002060"/>
                </a:solidFill>
                <a:latin typeface="Calibri" panose="020F0502020204030204" pitchFamily="34" charset="0"/>
                <a:ea typeface="+mn-ea"/>
                <a:cs typeface="Calibri" panose="020F0502020204030204" pitchFamily="34" charset="0"/>
              </a:rPr>
              <a:pPr marL="0" indent="0"/>
              <a:t>588</a:t>
            </a:fld>
            <a:endParaRPr lang="en-US" sz="2600" b="1" i="0" u="none" strike="noStrike">
              <a:solidFill>
                <a:srgbClr val="002060"/>
              </a:solidFill>
              <a:latin typeface="Calibri" panose="020F0502020204030204" pitchFamily="34" charset="0"/>
              <a:ea typeface="+mn-ea"/>
              <a:cs typeface="Calibri" panose="020F0502020204030204" pitchFamily="34" charset="0"/>
            </a:endParaRPr>
          </a:p>
        </xdr:txBody>
      </xdr:sp>
    </xdr:grpSp>
    <xdr:clientData/>
  </xdr:twoCellAnchor>
  <xdr:twoCellAnchor>
    <xdr:from>
      <xdr:col>4</xdr:col>
      <xdr:colOff>138545</xdr:colOff>
      <xdr:row>10</xdr:row>
      <xdr:rowOff>103909</xdr:rowOff>
    </xdr:from>
    <xdr:to>
      <xdr:col>10</xdr:col>
      <xdr:colOff>46089</xdr:colOff>
      <xdr:row>12</xdr:row>
      <xdr:rowOff>138544</xdr:rowOff>
    </xdr:to>
    <xdr:sp macro="" textlink="">
      <xdr:nvSpPr>
        <xdr:cNvPr id="58" name="TextBox 57">
          <a:extLst>
            <a:ext uri="{FF2B5EF4-FFF2-40B4-BE49-F238E27FC236}">
              <a16:creationId xmlns:a16="http://schemas.microsoft.com/office/drawing/2014/main" id="{0905C3D0-0530-B435-BACD-0E288BE56CFB}"/>
            </a:ext>
          </a:extLst>
        </xdr:cNvPr>
        <xdr:cNvSpPr txBox="1"/>
      </xdr:nvSpPr>
      <xdr:spPr>
        <a:xfrm>
          <a:off x="2719513" y="1947457"/>
          <a:ext cx="3778995" cy="403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Segoe UI Black" panose="020B0A02040204020203" pitchFamily="34" charset="0"/>
              <a:ea typeface="Segoe UI Black" panose="020B0A02040204020203" pitchFamily="34" charset="0"/>
              <a:cs typeface="+mn-cs"/>
            </a:rPr>
            <a:t>Total</a:t>
          </a:r>
          <a:r>
            <a:rPr lang="en-US" sz="1100">
              <a:latin typeface="Segoe UI Black" panose="020B0A02040204020203" pitchFamily="34" charset="0"/>
              <a:ea typeface="Segoe UI Black" panose="020B0A02040204020203" pitchFamily="34" charset="0"/>
            </a:rPr>
            <a:t> </a:t>
          </a:r>
          <a:r>
            <a:rPr lang="en-US" sz="1600">
              <a:solidFill>
                <a:srgbClr val="5F2928"/>
              </a:solidFill>
              <a:latin typeface="Segoe UI Black" panose="020B0A02040204020203" pitchFamily="34" charset="0"/>
              <a:ea typeface="Segoe UI Black" panose="020B0A02040204020203" pitchFamily="34" charset="0"/>
              <a:cs typeface="+mn-cs"/>
            </a:rPr>
            <a:t>Employees</a:t>
          </a:r>
          <a:r>
            <a:rPr lang="en-US" sz="1100" baseline="0">
              <a:solidFill>
                <a:schemeClr val="dk1"/>
              </a:solidFill>
              <a:latin typeface="Segoe UI Black" panose="020B0A02040204020203" pitchFamily="34" charset="0"/>
              <a:ea typeface="Segoe UI Black" panose="020B0A02040204020203" pitchFamily="34" charset="0"/>
              <a:cs typeface="+mn-cs"/>
            </a:rPr>
            <a:t> </a:t>
          </a:r>
          <a:r>
            <a:rPr lang="en-US" sz="1600" baseline="0">
              <a:solidFill>
                <a:srgbClr val="5F2928"/>
              </a:solidFill>
              <a:latin typeface="Segoe UI Black" panose="020B0A02040204020203" pitchFamily="34" charset="0"/>
              <a:ea typeface="Segoe UI Black" panose="020B0A02040204020203" pitchFamily="34" charset="0"/>
              <a:cs typeface="+mn-cs"/>
            </a:rPr>
            <a:t>By</a:t>
          </a:r>
          <a:r>
            <a:rPr lang="en-US" sz="1100" baseline="0">
              <a:solidFill>
                <a:schemeClr val="dk1"/>
              </a:solidFill>
              <a:latin typeface="Segoe UI Black" panose="020B0A02040204020203" pitchFamily="34" charset="0"/>
              <a:ea typeface="Segoe UI Black" panose="020B0A02040204020203" pitchFamily="34" charset="0"/>
              <a:cs typeface="+mn-cs"/>
            </a:rPr>
            <a:t> </a:t>
          </a:r>
          <a:r>
            <a:rPr lang="en-US" sz="1600">
              <a:solidFill>
                <a:srgbClr val="5F2928"/>
              </a:solidFill>
              <a:latin typeface="Segoe UI Black" panose="020B0A02040204020203" pitchFamily="34" charset="0"/>
              <a:ea typeface="Segoe UI Black" panose="020B0A02040204020203" pitchFamily="34" charset="0"/>
              <a:cs typeface="+mn-cs"/>
            </a:rPr>
            <a:t>Gender</a:t>
          </a:r>
        </a:p>
      </xdr:txBody>
    </xdr:sp>
    <xdr:clientData/>
  </xdr:twoCellAnchor>
  <xdr:twoCellAnchor>
    <xdr:from>
      <xdr:col>10</xdr:col>
      <xdr:colOff>568428</xdr:colOff>
      <xdr:row>10</xdr:row>
      <xdr:rowOff>69273</xdr:rowOff>
    </xdr:from>
    <xdr:to>
      <xdr:col>18</xdr:col>
      <xdr:colOff>261169</xdr:colOff>
      <xdr:row>12</xdr:row>
      <xdr:rowOff>103908</xdr:rowOff>
    </xdr:to>
    <xdr:sp macro="" textlink="">
      <xdr:nvSpPr>
        <xdr:cNvPr id="63" name="TextBox 62">
          <a:extLst>
            <a:ext uri="{FF2B5EF4-FFF2-40B4-BE49-F238E27FC236}">
              <a16:creationId xmlns:a16="http://schemas.microsoft.com/office/drawing/2014/main" id="{ACCE43CB-95E5-4063-A545-88EF67B31F22}"/>
            </a:ext>
          </a:extLst>
        </xdr:cNvPr>
        <xdr:cNvSpPr txBox="1"/>
      </xdr:nvSpPr>
      <xdr:spPr>
        <a:xfrm>
          <a:off x="7020847" y="1912821"/>
          <a:ext cx="4854677" cy="403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Segoe UI Black" panose="020B0A02040204020203" pitchFamily="34" charset="0"/>
              <a:ea typeface="Segoe UI Black" panose="020B0A02040204020203" pitchFamily="34" charset="0"/>
              <a:cs typeface="+mn-cs"/>
            </a:rPr>
            <a:t>Education</a:t>
          </a:r>
          <a:r>
            <a:rPr lang="en-US" sz="1600" baseline="0">
              <a:solidFill>
                <a:srgbClr val="5F2928"/>
              </a:solidFill>
              <a:latin typeface="Segoe UI Black" panose="020B0A02040204020203" pitchFamily="34" charset="0"/>
              <a:ea typeface="Segoe UI Black" panose="020B0A02040204020203" pitchFamily="34" charset="0"/>
              <a:cs typeface="+mn-cs"/>
            </a:rPr>
            <a:t> Wise Attrition</a:t>
          </a:r>
          <a:endParaRPr lang="en-US" sz="1600">
            <a:solidFill>
              <a:srgbClr val="5F2928"/>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19</xdr:col>
      <xdr:colOff>30726</xdr:colOff>
      <xdr:row>10</xdr:row>
      <xdr:rowOff>92178</xdr:rowOff>
    </xdr:from>
    <xdr:to>
      <xdr:col>26</xdr:col>
      <xdr:colOff>0</xdr:colOff>
      <xdr:row>12</xdr:row>
      <xdr:rowOff>107540</xdr:rowOff>
    </xdr:to>
    <xdr:sp macro="" textlink="">
      <xdr:nvSpPr>
        <xdr:cNvPr id="64" name="TextBox 63">
          <a:extLst>
            <a:ext uri="{FF2B5EF4-FFF2-40B4-BE49-F238E27FC236}">
              <a16:creationId xmlns:a16="http://schemas.microsoft.com/office/drawing/2014/main" id="{88A39CA5-CC1C-41AE-A24E-177CF09508B7}"/>
            </a:ext>
          </a:extLst>
        </xdr:cNvPr>
        <xdr:cNvSpPr txBox="1"/>
      </xdr:nvSpPr>
      <xdr:spPr>
        <a:xfrm>
          <a:off x="12290323" y="1935726"/>
          <a:ext cx="4455242" cy="384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Segoe UI Black" panose="020B0A02040204020203" pitchFamily="34" charset="0"/>
              <a:ea typeface="Segoe UI Black" panose="020B0A02040204020203" pitchFamily="34" charset="0"/>
              <a:cs typeface="+mn-cs"/>
            </a:rPr>
            <a:t>Job</a:t>
          </a:r>
          <a:r>
            <a:rPr lang="en-US" sz="1600" baseline="0">
              <a:solidFill>
                <a:srgbClr val="5F2928"/>
              </a:solidFill>
              <a:latin typeface="Segoe UI Black" panose="020B0A02040204020203" pitchFamily="34" charset="0"/>
              <a:ea typeface="Segoe UI Black" panose="020B0A02040204020203" pitchFamily="34" charset="0"/>
              <a:cs typeface="+mn-cs"/>
            </a:rPr>
            <a:t> Role By Attrition</a:t>
          </a:r>
        </a:p>
      </xdr:txBody>
    </xdr:sp>
    <xdr:clientData/>
  </xdr:twoCellAnchor>
  <xdr:twoCellAnchor>
    <xdr:from>
      <xdr:col>4</xdr:col>
      <xdr:colOff>107539</xdr:colOff>
      <xdr:row>24</xdr:row>
      <xdr:rowOff>138546</xdr:rowOff>
    </xdr:from>
    <xdr:to>
      <xdr:col>10</xdr:col>
      <xdr:colOff>61451</xdr:colOff>
      <xdr:row>26</xdr:row>
      <xdr:rowOff>153630</xdr:rowOff>
    </xdr:to>
    <xdr:sp macro="" textlink="">
      <xdr:nvSpPr>
        <xdr:cNvPr id="65" name="TextBox 64">
          <a:extLst>
            <a:ext uri="{FF2B5EF4-FFF2-40B4-BE49-F238E27FC236}">
              <a16:creationId xmlns:a16="http://schemas.microsoft.com/office/drawing/2014/main" id="{CAE7732E-6AA7-4EEC-BEAD-CFE8801334AB}"/>
            </a:ext>
          </a:extLst>
        </xdr:cNvPr>
        <xdr:cNvSpPr txBox="1"/>
      </xdr:nvSpPr>
      <xdr:spPr>
        <a:xfrm>
          <a:off x="2688507" y="4563062"/>
          <a:ext cx="3825363" cy="383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5F2928"/>
              </a:solidFill>
              <a:latin typeface="Segoe UI Black" panose="020B0A02040204020203" pitchFamily="34" charset="0"/>
              <a:ea typeface="Segoe UI Black" panose="020B0A02040204020203" pitchFamily="34" charset="0"/>
              <a:cs typeface="+mn-cs"/>
            </a:rPr>
            <a:t>Deparment</a:t>
          </a:r>
          <a:r>
            <a:rPr lang="en-US" sz="1600" baseline="0">
              <a:solidFill>
                <a:srgbClr val="5F2928"/>
              </a:solidFill>
              <a:latin typeface="Segoe UI Black" panose="020B0A02040204020203" pitchFamily="34" charset="0"/>
              <a:ea typeface="Segoe UI Black" panose="020B0A02040204020203" pitchFamily="34" charset="0"/>
              <a:cs typeface="+mn-cs"/>
            </a:rPr>
            <a:t> Wise Attrition</a:t>
          </a:r>
        </a:p>
      </xdr:txBody>
    </xdr:sp>
    <xdr:clientData/>
  </xdr:twoCellAnchor>
  <xdr:twoCellAnchor editAs="oneCell">
    <xdr:from>
      <xdr:col>5</xdr:col>
      <xdr:colOff>484908</xdr:colOff>
      <xdr:row>13</xdr:row>
      <xdr:rowOff>173182</xdr:rowOff>
    </xdr:from>
    <xdr:to>
      <xdr:col>8</xdr:col>
      <xdr:colOff>342176</xdr:colOff>
      <xdr:row>17</xdr:row>
      <xdr:rowOff>121227</xdr:rowOff>
    </xdr:to>
    <mc:AlternateContent xmlns:mc="http://schemas.openxmlformats.org/markup-compatibility/2006">
      <mc:Choice xmlns:a14="http://schemas.microsoft.com/office/drawing/2010/main" Requires="a14">
        <xdr:graphicFrame macro="">
          <xdr:nvGraphicFramePr>
            <xdr:cNvPr id="66" name="Gender 3">
              <a:extLst>
                <a:ext uri="{FF2B5EF4-FFF2-40B4-BE49-F238E27FC236}">
                  <a16:creationId xmlns:a16="http://schemas.microsoft.com/office/drawing/2014/main" id="{05D7ABCF-1040-482B-ADCD-D6C521B1320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3723408" y="2649682"/>
              <a:ext cx="1800368" cy="710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537702</xdr:colOff>
      <xdr:row>13</xdr:row>
      <xdr:rowOff>61452</xdr:rowOff>
    </xdr:from>
    <xdr:to>
      <xdr:col>18</xdr:col>
      <xdr:colOff>215080</xdr:colOff>
      <xdr:row>23</xdr:row>
      <xdr:rowOff>61452</xdr:rowOff>
    </xdr:to>
    <xdr:graphicFrame macro="">
      <xdr:nvGraphicFramePr>
        <xdr:cNvPr id="67" name="Chart 66">
          <a:extLst>
            <a:ext uri="{FF2B5EF4-FFF2-40B4-BE49-F238E27FC236}">
              <a16:creationId xmlns:a16="http://schemas.microsoft.com/office/drawing/2014/main" id="{86E4BD1C-DFF6-4AD2-96D4-2A1ABDFCA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599152</xdr:colOff>
      <xdr:row>12</xdr:row>
      <xdr:rowOff>153629</xdr:rowOff>
    </xdr:from>
    <xdr:to>
      <xdr:col>26</xdr:col>
      <xdr:colOff>138265</xdr:colOff>
      <xdr:row>24</xdr:row>
      <xdr:rowOff>15363</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72D2CBA6-5DE0-43EF-B4BB-C465E16EA0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213507" y="2365887"/>
              <a:ext cx="4670323" cy="207399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553065</xdr:colOff>
      <xdr:row>24</xdr:row>
      <xdr:rowOff>138266</xdr:rowOff>
    </xdr:from>
    <xdr:to>
      <xdr:col>16</xdr:col>
      <xdr:colOff>84303</xdr:colOff>
      <xdr:row>26</xdr:row>
      <xdr:rowOff>153350</xdr:rowOff>
    </xdr:to>
    <xdr:sp macro="" textlink="">
      <xdr:nvSpPr>
        <xdr:cNvPr id="72" name="TextBox 71">
          <a:extLst>
            <a:ext uri="{FF2B5EF4-FFF2-40B4-BE49-F238E27FC236}">
              <a16:creationId xmlns:a16="http://schemas.microsoft.com/office/drawing/2014/main" id="{869E0030-08D6-4706-9330-7D810DE6FE0D}"/>
            </a:ext>
          </a:extLst>
        </xdr:cNvPr>
        <xdr:cNvSpPr txBox="1"/>
      </xdr:nvSpPr>
      <xdr:spPr>
        <a:xfrm>
          <a:off x="7005484" y="4562782"/>
          <a:ext cx="3402690" cy="383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aseline="0">
              <a:solidFill>
                <a:srgbClr val="5F2928"/>
              </a:solidFill>
              <a:latin typeface="Segoe UI Black" panose="020B0A02040204020203" pitchFamily="34" charset="0"/>
              <a:ea typeface="Segoe UI Black" panose="020B0A02040204020203" pitchFamily="34" charset="0"/>
              <a:cs typeface="+mn-cs"/>
            </a:rPr>
            <a:t>Attrition  By Age Group</a:t>
          </a:r>
        </a:p>
      </xdr:txBody>
    </xdr:sp>
    <xdr:clientData/>
  </xdr:twoCellAnchor>
  <xdr:twoCellAnchor>
    <xdr:from>
      <xdr:col>17</xdr:col>
      <xdr:colOff>0</xdr:colOff>
      <xdr:row>24</xdr:row>
      <xdr:rowOff>153629</xdr:rowOff>
    </xdr:from>
    <xdr:to>
      <xdr:col>21</xdr:col>
      <xdr:colOff>153629</xdr:colOff>
      <xdr:row>26</xdr:row>
      <xdr:rowOff>153629</xdr:rowOff>
    </xdr:to>
    <xdr:sp macro="" textlink="">
      <xdr:nvSpPr>
        <xdr:cNvPr id="73" name="TextBox 72">
          <a:extLst>
            <a:ext uri="{FF2B5EF4-FFF2-40B4-BE49-F238E27FC236}">
              <a16:creationId xmlns:a16="http://schemas.microsoft.com/office/drawing/2014/main" id="{51C48BB3-EDFB-42B6-95E7-EC474C6B1491}"/>
            </a:ext>
          </a:extLst>
        </xdr:cNvPr>
        <xdr:cNvSpPr txBox="1"/>
      </xdr:nvSpPr>
      <xdr:spPr>
        <a:xfrm>
          <a:off x="10969113" y="4578145"/>
          <a:ext cx="2734597" cy="36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5F2928"/>
              </a:solidFill>
              <a:latin typeface="Segoe UI Black" panose="020B0A02040204020203" pitchFamily="34" charset="0"/>
              <a:ea typeface="Segoe UI Black" panose="020B0A02040204020203" pitchFamily="34" charset="0"/>
              <a:cs typeface="+mn-cs"/>
            </a:rPr>
            <a:t>Attrition</a:t>
          </a:r>
          <a:r>
            <a:rPr lang="en-US" sz="1400" baseline="0">
              <a:solidFill>
                <a:srgbClr val="5F2928"/>
              </a:solidFill>
              <a:latin typeface="Segoe UI Black" panose="020B0A02040204020203" pitchFamily="34" charset="0"/>
              <a:ea typeface="Segoe UI Black" panose="020B0A02040204020203" pitchFamily="34" charset="0"/>
              <a:cs typeface="+mn-cs"/>
            </a:rPr>
            <a:t> By Maritial Status</a:t>
          </a:r>
          <a:endParaRPr lang="en-US" sz="1400">
            <a:solidFill>
              <a:srgbClr val="5F2928"/>
            </a:solidFill>
            <a:latin typeface="Segoe UI Black" panose="020B0A02040204020203" pitchFamily="34" charset="0"/>
            <a:ea typeface="Segoe UI Black" panose="020B0A02040204020203" pitchFamily="34" charset="0"/>
            <a:cs typeface="+mn-cs"/>
          </a:endParaRPr>
        </a:p>
      </xdr:txBody>
    </xdr:sp>
    <xdr:clientData/>
  </xdr:twoCellAnchor>
  <xdr:twoCellAnchor>
    <xdr:from>
      <xdr:col>21</xdr:col>
      <xdr:colOff>599153</xdr:colOff>
      <xdr:row>24</xdr:row>
      <xdr:rowOff>138266</xdr:rowOff>
    </xdr:from>
    <xdr:to>
      <xdr:col>26</xdr:col>
      <xdr:colOff>22851</xdr:colOff>
      <xdr:row>27</xdr:row>
      <xdr:rowOff>15363</xdr:rowOff>
    </xdr:to>
    <xdr:sp macro="" textlink="">
      <xdr:nvSpPr>
        <xdr:cNvPr id="74" name="TextBox 73">
          <a:extLst>
            <a:ext uri="{FF2B5EF4-FFF2-40B4-BE49-F238E27FC236}">
              <a16:creationId xmlns:a16="http://schemas.microsoft.com/office/drawing/2014/main" id="{5BD80BD1-61D9-4D2C-9A92-BDD2F6F0B52E}"/>
            </a:ext>
          </a:extLst>
        </xdr:cNvPr>
        <xdr:cNvSpPr txBox="1"/>
      </xdr:nvSpPr>
      <xdr:spPr>
        <a:xfrm>
          <a:off x="14149234" y="4562782"/>
          <a:ext cx="2619182" cy="430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5F2928"/>
              </a:solidFill>
              <a:latin typeface="Segoe UI Black" panose="020B0A02040204020203" pitchFamily="34" charset="0"/>
              <a:ea typeface="Segoe UI Black" panose="020B0A02040204020203" pitchFamily="34" charset="0"/>
              <a:cs typeface="+mn-cs"/>
            </a:rPr>
            <a:t>Total</a:t>
          </a:r>
          <a:r>
            <a:rPr lang="en-US" sz="1200">
              <a:latin typeface="Segoe UI Black" panose="020B0A02040204020203" pitchFamily="34" charset="0"/>
              <a:ea typeface="Segoe UI Black" panose="020B0A02040204020203" pitchFamily="34" charset="0"/>
            </a:rPr>
            <a:t> </a:t>
          </a:r>
          <a:r>
            <a:rPr lang="en-US" sz="1800">
              <a:solidFill>
                <a:srgbClr val="5F2928"/>
              </a:solidFill>
              <a:latin typeface="Segoe UI Black" panose="020B0A02040204020203" pitchFamily="34" charset="0"/>
              <a:ea typeface="Segoe UI Black" panose="020B0A02040204020203" pitchFamily="34" charset="0"/>
              <a:cs typeface="+mn-cs"/>
            </a:rPr>
            <a:t>Employees</a:t>
          </a:r>
          <a:r>
            <a:rPr lang="en-US" sz="1200" baseline="0">
              <a:solidFill>
                <a:schemeClr val="dk1"/>
              </a:solidFill>
              <a:latin typeface="Segoe UI Black" panose="020B0A02040204020203" pitchFamily="34" charset="0"/>
              <a:ea typeface="Segoe UI Black" panose="020B0A02040204020203" pitchFamily="34" charset="0"/>
              <a:cs typeface="+mn-cs"/>
            </a:rPr>
            <a:t> </a:t>
          </a:r>
          <a:r>
            <a:rPr lang="en-US" sz="1800" baseline="0">
              <a:solidFill>
                <a:srgbClr val="5F2928"/>
              </a:solidFill>
              <a:latin typeface="Segoe UI Black" panose="020B0A02040204020203" pitchFamily="34" charset="0"/>
              <a:ea typeface="Segoe UI Black" panose="020B0A02040204020203" pitchFamily="34" charset="0"/>
              <a:cs typeface="+mn-cs"/>
            </a:rPr>
            <a:t>By</a:t>
          </a:r>
          <a:r>
            <a:rPr lang="en-US" sz="1200" baseline="0">
              <a:solidFill>
                <a:schemeClr val="dk1"/>
              </a:solidFill>
              <a:latin typeface="Segoe UI Black" panose="020B0A02040204020203" pitchFamily="34" charset="0"/>
              <a:ea typeface="Segoe UI Black" panose="020B0A02040204020203" pitchFamily="34" charset="0"/>
              <a:cs typeface="+mn-cs"/>
            </a:rPr>
            <a:t> </a:t>
          </a:r>
          <a:r>
            <a:rPr lang="en-US" sz="1800">
              <a:solidFill>
                <a:srgbClr val="5F2928"/>
              </a:solidFill>
              <a:latin typeface="Segoe UI Black" panose="020B0A02040204020203" pitchFamily="34" charset="0"/>
              <a:ea typeface="Segoe UI Black" panose="020B0A02040204020203" pitchFamily="34" charset="0"/>
              <a:cs typeface="+mn-cs"/>
            </a:rPr>
            <a:t>Gender</a:t>
          </a:r>
        </a:p>
      </xdr:txBody>
    </xdr:sp>
    <xdr:clientData/>
  </xdr:twoCellAnchor>
  <xdr:twoCellAnchor>
    <xdr:from>
      <xdr:col>3</xdr:col>
      <xdr:colOff>630812</xdr:colOff>
      <xdr:row>26</xdr:row>
      <xdr:rowOff>177800</xdr:rowOff>
    </xdr:from>
    <xdr:to>
      <xdr:col>10</xdr:col>
      <xdr:colOff>292100</xdr:colOff>
      <xdr:row>38</xdr:row>
      <xdr:rowOff>0</xdr:rowOff>
    </xdr:to>
    <xdr:graphicFrame macro="">
      <xdr:nvGraphicFramePr>
        <xdr:cNvPr id="75" name="Chart 74">
          <a:extLst>
            <a:ext uri="{FF2B5EF4-FFF2-40B4-BE49-F238E27FC236}">
              <a16:creationId xmlns:a16="http://schemas.microsoft.com/office/drawing/2014/main" id="{4F866498-3215-4464-BF73-36227621A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342900</xdr:colOff>
      <xdr:row>27</xdr:row>
      <xdr:rowOff>12700</xdr:rowOff>
    </xdr:from>
    <xdr:to>
      <xdr:col>16</xdr:col>
      <xdr:colOff>330200</xdr:colOff>
      <xdr:row>37</xdr:row>
      <xdr:rowOff>152400</xdr:rowOff>
    </xdr:to>
    <xdr:graphicFrame macro="">
      <xdr:nvGraphicFramePr>
        <xdr:cNvPr id="76" name="Chart 75">
          <a:extLst>
            <a:ext uri="{FF2B5EF4-FFF2-40B4-BE49-F238E27FC236}">
              <a16:creationId xmlns:a16="http://schemas.microsoft.com/office/drawing/2014/main" id="{E9F8D56A-4F17-4E46-9730-F9D676B71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558800</xdr:colOff>
      <xdr:row>27</xdr:row>
      <xdr:rowOff>165100</xdr:rowOff>
    </xdr:from>
    <xdr:to>
      <xdr:col>21</xdr:col>
      <xdr:colOff>241300</xdr:colOff>
      <xdr:row>37</xdr:row>
      <xdr:rowOff>127000</xdr:rowOff>
    </xdr:to>
    <xdr:graphicFrame macro="">
      <xdr:nvGraphicFramePr>
        <xdr:cNvPr id="77" name="Chart 76">
          <a:extLst>
            <a:ext uri="{FF2B5EF4-FFF2-40B4-BE49-F238E27FC236}">
              <a16:creationId xmlns:a16="http://schemas.microsoft.com/office/drawing/2014/main" id="{91829CC4-EFDF-4B9E-B2C1-D231C1713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24</xdr:col>
      <xdr:colOff>440312</xdr:colOff>
      <xdr:row>29</xdr:row>
      <xdr:rowOff>165100</xdr:rowOff>
    </xdr:from>
    <xdr:to>
      <xdr:col>26</xdr:col>
      <xdr:colOff>139700</xdr:colOff>
      <xdr:row>36</xdr:row>
      <xdr:rowOff>152400</xdr:rowOff>
    </xdr:to>
    <mc:AlternateContent xmlns:mc="http://schemas.openxmlformats.org/markup-compatibility/2006">
      <mc:Choice xmlns:a14="http://schemas.microsoft.com/office/drawing/2010/main" Requires="a14">
        <xdr:graphicFrame macro="">
          <xdr:nvGraphicFramePr>
            <xdr:cNvPr id="78" name="Department 1">
              <a:extLst>
                <a:ext uri="{FF2B5EF4-FFF2-40B4-BE49-F238E27FC236}">
                  <a16:creationId xmlns:a16="http://schemas.microsoft.com/office/drawing/2014/main" id="{EEF3D82D-473A-4F35-9463-3653B916C5A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959712" y="5689600"/>
              <a:ext cx="994788"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529212</xdr:colOff>
      <xdr:row>27</xdr:row>
      <xdr:rowOff>25401</xdr:rowOff>
    </xdr:from>
    <xdr:to>
      <xdr:col>24</xdr:col>
      <xdr:colOff>440312</xdr:colOff>
      <xdr:row>37</xdr:row>
      <xdr:rowOff>165101</xdr:rowOff>
    </xdr:to>
    <mc:AlternateContent xmlns:mc="http://schemas.openxmlformats.org/markup-compatibility/2006">
      <mc:Choice xmlns:a14="http://schemas.microsoft.com/office/drawing/2010/main" Requires="a14">
        <xdr:graphicFrame macro="">
          <xdr:nvGraphicFramePr>
            <xdr:cNvPr id="79" name="Education Field 3">
              <a:extLst>
                <a:ext uri="{FF2B5EF4-FFF2-40B4-BE49-F238E27FC236}">
                  <a16:creationId xmlns:a16="http://schemas.microsoft.com/office/drawing/2014/main" id="{A2ED9EB6-D0ED-4E3D-87BF-63309272BE63}"/>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4130912" y="5168901"/>
              <a:ext cx="1828800" cy="204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469900</xdr:colOff>
      <xdr:row>26</xdr:row>
      <xdr:rowOff>101600</xdr:rowOff>
    </xdr:from>
    <xdr:to>
      <xdr:col>23</xdr:col>
      <xdr:colOff>596900</xdr:colOff>
      <xdr:row>27</xdr:row>
      <xdr:rowOff>177800</xdr:rowOff>
    </xdr:to>
    <xdr:sp macro="" textlink="">
      <xdr:nvSpPr>
        <xdr:cNvPr id="80" name="TextBox 79">
          <a:extLst>
            <a:ext uri="{FF2B5EF4-FFF2-40B4-BE49-F238E27FC236}">
              <a16:creationId xmlns:a16="http://schemas.microsoft.com/office/drawing/2014/main" id="{ACEA0389-D1F8-3EEE-9521-58E3EDCAB1B6}"/>
            </a:ext>
          </a:extLst>
        </xdr:cNvPr>
        <xdr:cNvSpPr txBox="1"/>
      </xdr:nvSpPr>
      <xdr:spPr>
        <a:xfrm>
          <a:off x="14071600" y="5054600"/>
          <a:ext cx="1397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rgbClr val="002060"/>
              </a:solidFill>
              <a:latin typeface="Segoe UI Black" panose="020B0A02040204020203" pitchFamily="34" charset="0"/>
              <a:ea typeface="Segoe UI Black" panose="020B0A02040204020203" pitchFamily="34" charset="0"/>
            </a:rPr>
            <a:t>Educatino</a:t>
          </a:r>
          <a:r>
            <a:rPr lang="en-US" sz="1050" b="1" baseline="0">
              <a:solidFill>
                <a:srgbClr val="002060"/>
              </a:solidFill>
              <a:latin typeface="Segoe UI Black" panose="020B0A02040204020203" pitchFamily="34" charset="0"/>
              <a:ea typeface="Segoe UI Black" panose="020B0A02040204020203" pitchFamily="34" charset="0"/>
            </a:rPr>
            <a:t> Field</a:t>
          </a:r>
          <a:endParaRPr lang="en-US" sz="1050" b="1">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24</xdr:col>
      <xdr:colOff>211712</xdr:colOff>
      <xdr:row>27</xdr:row>
      <xdr:rowOff>114300</xdr:rowOff>
    </xdr:from>
    <xdr:to>
      <xdr:col>26</xdr:col>
      <xdr:colOff>313312</xdr:colOff>
      <xdr:row>29</xdr:row>
      <xdr:rowOff>0</xdr:rowOff>
    </xdr:to>
    <xdr:sp macro="" textlink="">
      <xdr:nvSpPr>
        <xdr:cNvPr id="82" name="TextBox 81">
          <a:extLst>
            <a:ext uri="{FF2B5EF4-FFF2-40B4-BE49-F238E27FC236}">
              <a16:creationId xmlns:a16="http://schemas.microsoft.com/office/drawing/2014/main" id="{F9F83D91-F882-4168-950C-F510D8573CF2}"/>
            </a:ext>
          </a:extLst>
        </xdr:cNvPr>
        <xdr:cNvSpPr txBox="1"/>
      </xdr:nvSpPr>
      <xdr:spPr>
        <a:xfrm>
          <a:off x="15731112" y="5257800"/>
          <a:ext cx="1397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rgbClr val="002060"/>
              </a:solidFill>
              <a:latin typeface="Segoe UI Black" panose="020B0A02040204020203" pitchFamily="34" charset="0"/>
              <a:ea typeface="Segoe UI Black" panose="020B0A02040204020203" pitchFamily="34" charset="0"/>
            </a:rPr>
            <a:t>Department</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0.3478</cdr:x>
      <cdr:y>0.33291</cdr:y>
    </cdr:from>
    <cdr:to>
      <cdr:x>0.60994</cdr:x>
      <cdr:y>0.67291</cdr:y>
    </cdr:to>
    <cdr:sp macro="" textlink="Rating!$B$8">
      <cdr:nvSpPr>
        <cdr:cNvPr id="2" name="TextBox 1">
          <a:extLst xmlns:a="http://schemas.openxmlformats.org/drawingml/2006/main">
            <a:ext uri="{FF2B5EF4-FFF2-40B4-BE49-F238E27FC236}">
              <a16:creationId xmlns:a16="http://schemas.microsoft.com/office/drawing/2014/main" id="{C91A1721-29F7-F5CE-B1E1-594CFEA434D1}"/>
            </a:ext>
          </a:extLst>
        </cdr:cNvPr>
        <cdr:cNvSpPr txBox="1"/>
      </cdr:nvSpPr>
      <cdr:spPr>
        <a:xfrm xmlns:a="http://schemas.openxmlformats.org/drawingml/2006/main">
          <a:off x="750891" y="306528"/>
          <a:ext cx="565961" cy="31305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450B7A27-F335-4AC7-B210-2C98A39F27C0}" type="TxLink">
            <a:rPr lang="en-US" sz="1400" b="0" i="0" u="none" strike="noStrike" kern="1200">
              <a:solidFill>
                <a:srgbClr val="000000"/>
              </a:solidFill>
              <a:latin typeface="Arial Black" panose="020B0A04020102020204" pitchFamily="34" charset="0"/>
              <a:cs typeface="Calibri"/>
            </a:rPr>
            <a:pPr/>
            <a:t>2.6</a:t>
          </a:fld>
          <a:endParaRPr lang="en-US" sz="1200" kern="1200">
            <a:latin typeface="Arial Black" panose="020B0A040201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0.3519</cdr:x>
      <cdr:y>0.35007</cdr:y>
    </cdr:from>
    <cdr:to>
      <cdr:x>0.72457</cdr:x>
      <cdr:y>0.66294</cdr:y>
    </cdr:to>
    <cdr:sp macro="" textlink="Gender!$B$11">
      <cdr:nvSpPr>
        <cdr:cNvPr id="2" name="TextBox 1">
          <a:extLst xmlns:a="http://schemas.openxmlformats.org/drawingml/2006/main">
            <a:ext uri="{FF2B5EF4-FFF2-40B4-BE49-F238E27FC236}">
              <a16:creationId xmlns:a16="http://schemas.microsoft.com/office/drawing/2014/main" id="{E3A84DBA-9869-5928-B3A6-B9B4CDB4DEFD}"/>
            </a:ext>
          </a:extLst>
        </cdr:cNvPr>
        <cdr:cNvSpPr txBox="1"/>
      </cdr:nvSpPr>
      <cdr:spPr>
        <a:xfrm xmlns:a="http://schemas.openxmlformats.org/drawingml/2006/main">
          <a:off x="744462" y="522516"/>
          <a:ext cx="788413" cy="46698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BD96503F-5618-47EF-B3AE-A9B7326B72F3}" type="TxLink">
            <a:rPr lang="en-US" sz="2600" b="1" i="0" u="none" strike="noStrike">
              <a:solidFill>
                <a:srgbClr val="002060"/>
              </a:solidFill>
              <a:latin typeface="Calibri" panose="020F0502020204030204" pitchFamily="34" charset="0"/>
              <a:ea typeface="+mn-ea"/>
              <a:cs typeface="Calibri" panose="020F0502020204030204" pitchFamily="34" charset="0"/>
            </a:rPr>
            <a:pPr marL="0" indent="0"/>
            <a:t>882</a:t>
          </a:fld>
          <a:endParaRPr lang="en-US" sz="2600" b="1" i="0" u="none" strike="noStrike">
            <a:solidFill>
              <a:srgbClr val="002060"/>
            </a:solidFill>
            <a:latin typeface="Calibri" panose="020F0502020204030204" pitchFamily="34" charset="0"/>
            <a:ea typeface="+mn-ea"/>
            <a:cs typeface="Calibri" panose="020F050202020403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COMPUTER" refreshedDate="46190.498865162037" createdVersion="8" refreshedVersion="8" minRefreshableVersion="3" recordCount="1470" xr:uid="{E4452406-2B08-4B17-B3EE-E4C05FD1CE2B}">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00636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751D09-2B6B-44C9-B638-7EE68FFBC6F6}" name="KPI"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01F582-ED90-4B48-8F6E-C34792779F77}" name="RATING"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1734B9-EF09-4165-A200-7DEEE964439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A1F255-F496-4F8C-988D-1C714D9513BE}" name="Education By Attri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57FF8E-288F-40A2-8555-F5BB4451B05E}" name="Job By Attrition "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EBD209-C4E2-4E67-8742-E0A5B3B87566}" name="Deparment Wise Attri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DEB2C-DEC2-45C6-8282-8B8AE1AEF5E6}" name="Attrition By Ag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FF27D6-0045-4F93-A212-E99E45B39673}" name="Martial Statu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B1E70164-A559-4FB6-8D24-794922EF60AC}" sourceName="Gender">
  <pivotTables>
    <pivotTable tabId="9" name="PivotTable2"/>
    <pivotTable tabId="13" name="Attrition By Age"/>
    <pivotTable tabId="12" name="Deparment Wise Attrition"/>
    <pivotTable tabId="10" name="Education By Attrition"/>
    <pivotTable tabId="11" name="Job By Attrition "/>
    <pivotTable tabId="7" name="KPI"/>
    <pivotTable tabId="14" name="Martial Status"/>
    <pivotTable tabId="8" name="RATING"/>
  </pivotTables>
  <data>
    <tabular pivotCacheId="17006364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52748B0-7000-414E-B29F-B3C2497F81E4}" sourceName="Department">
  <pivotTables>
    <pivotTable tabId="14" name="Martial Status"/>
    <pivotTable tabId="13" name="Attrition By Age"/>
    <pivotTable tabId="12" name="Deparment Wise Attrition"/>
    <pivotTable tabId="10" name="Education By Attrition"/>
    <pivotTable tabId="9" name="PivotTable2"/>
    <pivotTable tabId="11" name="Job By Attrition "/>
    <pivotTable tabId="7" name="KPI"/>
    <pivotTable tabId="8" name="RATING"/>
  </pivotTables>
  <data>
    <tabular pivotCacheId="170063642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58AD82A3-033A-4897-A4FA-7E6C92062447}" sourceName="Education Field">
  <pivotTables>
    <pivotTable tabId="14" name="Martial Status"/>
    <pivotTable tabId="13" name="Attrition By Age"/>
    <pivotTable tabId="12" name="Deparment Wise Attrition"/>
    <pivotTable tabId="10" name="Education By Attrition"/>
    <pivotTable tabId="9" name="PivotTable2"/>
    <pivotTable tabId="11" name="Job By Attrition "/>
    <pivotTable tabId="7" name="KPI"/>
    <pivotTable tabId="8" name="RATING"/>
  </pivotTables>
  <data>
    <tabular pivotCacheId="170063642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728E8DC-2CBE-4BBB-9998-14311EE0F5EF}"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DAE4943-F835-45C2-80E6-FA4F87C6236A}" cache="Slicer_Gender2" caption="Gender" rowHeight="257175"/>
  <slicer name="Education Field" xr10:uid="{DFBBDAC9-5314-4DEA-882A-DC8F89A4DE50}"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FA3F6CB-C432-4656-BF3B-F65453C3CB2E}" cache="Slicer_Gender2" caption="Gender" rowHeight="257175"/>
  <slicer name="Education Field 2" xr10:uid="{34176886-5AE6-42D7-B63C-35F5763C9D1D}"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B095D18-804C-4957-B961-D31307F329B5}" cache="Slicer_Department" caption="Department" rowHeight="257175"/>
  <slicer name="Education Field 1" xr10:uid="{DA32E670-D63E-48DC-9B7A-E022FA6797DF}"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1559657-C681-4B30-BB07-E3C4DC7C3F6B}" cache="Slicer_Gender2" caption="Gender" columnCount="2" style="Slicer" rowHeight="257175"/>
  <slicer name="Department 1" xr10:uid="{81D99E78-EAE7-4EA7-9F8E-61453610E8A1}" cache="Slicer_Department" style="Slicer" rowHeight="257175"/>
  <slicer name="Education Field 3" xr10:uid="{DBE2C292-4C4F-41EB-9EF8-B141B721297D}" cache="Slicer_Education_Field2"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BF8F0-BB8C-4A37-8F3C-24C12111F7FF}">
  <sheetPr codeName="Sheet1"/>
  <dimension ref="A3:E8"/>
  <sheetViews>
    <sheetView workbookViewId="0">
      <selection activeCell="E8" sqref="E8"/>
    </sheetView>
  </sheetViews>
  <sheetFormatPr defaultRowHeight="15.75" x14ac:dyDescent="0.25"/>
  <cols>
    <col min="1" max="1" width="23.375" bestFit="1" customWidth="1"/>
    <col min="2" max="2" width="21.75" bestFit="1" customWidth="1"/>
    <col min="3" max="3" width="13.375" bestFit="1" customWidth="1"/>
    <col min="4" max="4" width="15.75" customWidth="1"/>
  </cols>
  <sheetData>
    <row r="3" spans="1:5" x14ac:dyDescent="0.25">
      <c r="A3" s="2" t="s">
        <v>1556</v>
      </c>
      <c r="B3" s="4" t="s">
        <v>1554</v>
      </c>
      <c r="C3" s="3" t="s">
        <v>1555</v>
      </c>
    </row>
    <row r="4" spans="1:5" x14ac:dyDescent="0.25">
      <c r="A4" s="13">
        <v>1470</v>
      </c>
      <c r="B4" s="14">
        <v>237</v>
      </c>
      <c r="C4" s="15">
        <v>36.923809523809524</v>
      </c>
    </row>
    <row r="7" spans="1:5" x14ac:dyDescent="0.25">
      <c r="A7" t="s">
        <v>1557</v>
      </c>
      <c r="B7" t="s">
        <v>1558</v>
      </c>
      <c r="C7" t="s">
        <v>1559</v>
      </c>
      <c r="D7" t="s">
        <v>1560</v>
      </c>
      <c r="E7" t="s">
        <v>1561</v>
      </c>
    </row>
    <row r="8" spans="1:5" x14ac:dyDescent="0.25">
      <c r="A8">
        <f>GETPIVOTDATA("Count of Employee Number",$A$3)</f>
        <v>1470</v>
      </c>
      <c r="B8">
        <f>GETPIVOTDATA("Sum of CF_attrition count",$A$3)</f>
        <v>237</v>
      </c>
      <c r="C8" s="5">
        <f>GETPIVOTDATA("Average of Age",$A$3)</f>
        <v>36.923809523809524</v>
      </c>
      <c r="D8">
        <f>A8-B8</f>
        <v>1233</v>
      </c>
      <c r="E8" s="6">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1FED9-8A15-4F5A-B3E9-203A532310EF}">
  <dimension ref="A3:C9"/>
  <sheetViews>
    <sheetView workbookViewId="0">
      <selection activeCell="A4" sqref="A4"/>
    </sheetView>
  </sheetViews>
  <sheetFormatPr defaultRowHeight="15.75" x14ac:dyDescent="0.25"/>
  <cols>
    <col min="1" max="1" width="24.375" bestFit="1" customWidth="1"/>
  </cols>
  <sheetData>
    <row r="3" spans="1:3" x14ac:dyDescent="0.25">
      <c r="A3" t="s">
        <v>1562</v>
      </c>
    </row>
    <row r="4" spans="1:3" x14ac:dyDescent="0.25">
      <c r="A4" s="8">
        <v>2.6265306122448981</v>
      </c>
    </row>
    <row r="8" spans="1:3" x14ac:dyDescent="0.25">
      <c r="A8" t="s">
        <v>1563</v>
      </c>
      <c r="B8" s="8">
        <f>GETPIVOTDATA("Job Satisfaction",$A$3)</f>
        <v>2.6265306122448981</v>
      </c>
      <c r="C8">
        <f>B8/4</f>
        <v>0.65663265306122454</v>
      </c>
    </row>
    <row r="9" spans="1:3" x14ac:dyDescent="0.25">
      <c r="A9" t="s">
        <v>1564</v>
      </c>
      <c r="B9" s="8">
        <f>4-B8</f>
        <v>1.3734693877551019</v>
      </c>
      <c r="C9">
        <f>B9/4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09C3F-E119-42A2-8DA3-33385A39CDE9}">
  <dimension ref="A3:C11"/>
  <sheetViews>
    <sheetView workbookViewId="0">
      <selection activeCell="C10" sqref="C10:C11"/>
    </sheetView>
  </sheetViews>
  <sheetFormatPr defaultRowHeight="15.75" x14ac:dyDescent="0.25"/>
  <cols>
    <col min="1" max="1" width="12.375" bestFit="1" customWidth="1"/>
    <col min="2" max="2" width="25" bestFit="1" customWidth="1"/>
  </cols>
  <sheetData>
    <row r="3" spans="1:3" x14ac:dyDescent="0.25">
      <c r="A3" s="9" t="s">
        <v>1565</v>
      </c>
      <c r="B3" t="s">
        <v>1556</v>
      </c>
    </row>
    <row r="4" spans="1:3" x14ac:dyDescent="0.25">
      <c r="A4" s="10" t="s">
        <v>51</v>
      </c>
      <c r="B4" s="12">
        <v>588</v>
      </c>
    </row>
    <row r="5" spans="1:3" x14ac:dyDescent="0.25">
      <c r="A5" s="10" t="s">
        <v>62</v>
      </c>
      <c r="B5" s="12">
        <v>882</v>
      </c>
    </row>
    <row r="6" spans="1:3" x14ac:dyDescent="0.25">
      <c r="A6" s="10" t="s">
        <v>1566</v>
      </c>
      <c r="B6" s="12">
        <v>1470</v>
      </c>
    </row>
    <row r="10" spans="1:3" x14ac:dyDescent="0.25">
      <c r="A10" s="10" t="s">
        <v>51</v>
      </c>
      <c r="B10">
        <f>IFERROR(GETPIVOTDATA("Employee Number",$A$3,"Gender","Female"),0)</f>
        <v>588</v>
      </c>
      <c r="C10" s="11">
        <f>IFERROR(B10/($B$10+$B$11),0)</f>
        <v>0.4</v>
      </c>
    </row>
    <row r="11" spans="1:3" x14ac:dyDescent="0.25">
      <c r="A11" s="10" t="s">
        <v>62</v>
      </c>
      <c r="B11">
        <f>IFERROR(GETPIVOTDATA("Employee Number",$A$3,"Gender","Male"),0)</f>
        <v>882</v>
      </c>
      <c r="C11" s="11">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53BA-0DD0-4936-A9FD-798AE3227F87}">
  <dimension ref="A3:B9"/>
  <sheetViews>
    <sheetView workbookViewId="0">
      <selection activeCell="B5" sqref="B5"/>
    </sheetView>
  </sheetViews>
  <sheetFormatPr defaultRowHeight="15.75" x14ac:dyDescent="0.25"/>
  <cols>
    <col min="1" max="1" width="16.125" bestFit="1" customWidth="1"/>
    <col min="2" max="2" width="24.125" bestFit="1" customWidth="1"/>
  </cols>
  <sheetData>
    <row r="3" spans="1:2" x14ac:dyDescent="0.25">
      <c r="A3" s="9" t="s">
        <v>1565</v>
      </c>
      <c r="B3" t="s">
        <v>1567</v>
      </c>
    </row>
    <row r="4" spans="1:2" x14ac:dyDescent="0.25">
      <c r="A4" s="10" t="s">
        <v>134</v>
      </c>
      <c r="B4" s="12">
        <v>5</v>
      </c>
    </row>
    <row r="5" spans="1:2" x14ac:dyDescent="0.25">
      <c r="A5" s="10" t="s">
        <v>65</v>
      </c>
      <c r="B5" s="12">
        <v>31</v>
      </c>
    </row>
    <row r="6" spans="1:2" x14ac:dyDescent="0.25">
      <c r="A6" s="10" t="s">
        <v>55</v>
      </c>
      <c r="B6" s="12">
        <v>44</v>
      </c>
    </row>
    <row r="7" spans="1:2" x14ac:dyDescent="0.25">
      <c r="A7" s="10" t="s">
        <v>71</v>
      </c>
      <c r="B7" s="12">
        <v>58</v>
      </c>
    </row>
    <row r="8" spans="1:2" x14ac:dyDescent="0.25">
      <c r="A8" s="10" t="s">
        <v>77</v>
      </c>
      <c r="B8" s="12">
        <v>99</v>
      </c>
    </row>
    <row r="9" spans="1:2" x14ac:dyDescent="0.25">
      <c r="A9" s="10" t="s">
        <v>1566</v>
      </c>
      <c r="B9" s="1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8B7F7-E705-4F51-ADAC-9A84F5E176B5}">
  <dimension ref="A3:E13"/>
  <sheetViews>
    <sheetView workbookViewId="0">
      <selection activeCell="D4" sqref="D4:E12"/>
    </sheetView>
  </sheetViews>
  <sheetFormatPr defaultRowHeight="15.75" x14ac:dyDescent="0.25"/>
  <cols>
    <col min="1" max="1" width="22.875" bestFit="1" customWidth="1"/>
    <col min="2" max="2" width="24.125" bestFit="1" customWidth="1"/>
    <col min="4" max="4" width="21.5" customWidth="1"/>
  </cols>
  <sheetData>
    <row r="3" spans="1:5" x14ac:dyDescent="0.25">
      <c r="A3" s="9" t="s">
        <v>1565</v>
      </c>
      <c r="B3" t="s">
        <v>1567</v>
      </c>
      <c r="D3" t="s">
        <v>9</v>
      </c>
      <c r="E3" t="s">
        <v>1568</v>
      </c>
    </row>
    <row r="4" spans="1:5" x14ac:dyDescent="0.25">
      <c r="A4" s="10" t="s">
        <v>83</v>
      </c>
      <c r="B4" s="12">
        <v>9</v>
      </c>
      <c r="D4" t="str">
        <f>A4</f>
        <v>Healthcare Representative</v>
      </c>
      <c r="E4" t="s">
        <v>1569</v>
      </c>
    </row>
    <row r="5" spans="1:5" x14ac:dyDescent="0.25">
      <c r="A5" s="10" t="s">
        <v>163</v>
      </c>
      <c r="B5" s="12">
        <v>12</v>
      </c>
      <c r="D5" t="str">
        <f t="shared" ref="D5:D12" si="0">A5</f>
        <v>Human Resources</v>
      </c>
      <c r="E5">
        <f t="shared" ref="E5:E12" si="1">GETPIVOTDATA("CF_attrition counts",$A$3,"Job Role",A5)</f>
        <v>12</v>
      </c>
    </row>
    <row r="6" spans="1:5" x14ac:dyDescent="0.25">
      <c r="A6" s="10" t="s">
        <v>68</v>
      </c>
      <c r="B6" s="12">
        <v>62</v>
      </c>
      <c r="D6" t="str">
        <f t="shared" si="0"/>
        <v>Laboratory Technician</v>
      </c>
      <c r="E6">
        <f t="shared" si="1"/>
        <v>62</v>
      </c>
    </row>
    <row r="7" spans="1:5" x14ac:dyDescent="0.25">
      <c r="A7" s="10" t="s">
        <v>95</v>
      </c>
      <c r="B7" s="12">
        <v>5</v>
      </c>
      <c r="D7" t="str">
        <f t="shared" si="0"/>
        <v>Manager</v>
      </c>
      <c r="E7">
        <f t="shared" si="1"/>
        <v>5</v>
      </c>
    </row>
    <row r="8" spans="1:5" x14ac:dyDescent="0.25">
      <c r="A8" s="10" t="s">
        <v>81</v>
      </c>
      <c r="B8" s="12">
        <v>10</v>
      </c>
      <c r="D8" t="str">
        <f t="shared" si="0"/>
        <v>Manufacturing Director</v>
      </c>
      <c r="E8">
        <f t="shared" si="1"/>
        <v>10</v>
      </c>
    </row>
    <row r="9" spans="1:5" x14ac:dyDescent="0.25">
      <c r="A9" s="10" t="s">
        <v>101</v>
      </c>
      <c r="B9" s="12">
        <v>2</v>
      </c>
      <c r="D9" t="str">
        <f t="shared" si="0"/>
        <v>Research Director</v>
      </c>
      <c r="E9">
        <f t="shared" si="1"/>
        <v>2</v>
      </c>
    </row>
    <row r="10" spans="1:5" x14ac:dyDescent="0.25">
      <c r="A10" s="10" t="s">
        <v>63</v>
      </c>
      <c r="B10" s="12">
        <v>47</v>
      </c>
      <c r="D10" t="str">
        <f t="shared" si="0"/>
        <v>Research Scientist</v>
      </c>
      <c r="E10">
        <f t="shared" si="1"/>
        <v>47</v>
      </c>
    </row>
    <row r="11" spans="1:5" x14ac:dyDescent="0.25">
      <c r="A11" s="10" t="s">
        <v>52</v>
      </c>
      <c r="B11" s="12">
        <v>57</v>
      </c>
      <c r="D11" t="str">
        <f t="shared" si="0"/>
        <v>Sales Executive</v>
      </c>
      <c r="E11">
        <f t="shared" si="1"/>
        <v>57</v>
      </c>
    </row>
    <row r="12" spans="1:5" x14ac:dyDescent="0.25">
      <c r="A12" s="10" t="s">
        <v>99</v>
      </c>
      <c r="B12" s="12">
        <v>33</v>
      </c>
      <c r="D12" t="str">
        <f t="shared" si="0"/>
        <v>Sales Representative</v>
      </c>
      <c r="E12">
        <f t="shared" si="1"/>
        <v>33</v>
      </c>
    </row>
    <row r="13" spans="1:5" x14ac:dyDescent="0.25">
      <c r="A13" s="10" t="s">
        <v>1566</v>
      </c>
      <c r="B13" s="12">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C494-D282-426E-9939-B1E2C44CBEE2}">
  <dimension ref="A3:B7"/>
  <sheetViews>
    <sheetView workbookViewId="0">
      <selection activeCell="I11" activeCellId="1" sqref="B5 I11"/>
    </sheetView>
  </sheetViews>
  <sheetFormatPr defaultRowHeight="15.75" x14ac:dyDescent="0.25"/>
  <cols>
    <col min="1" max="1" width="12.375" bestFit="1" customWidth="1"/>
    <col min="2" max="2" width="23.375" bestFit="1" customWidth="1"/>
  </cols>
  <sheetData>
    <row r="3" spans="1:2" x14ac:dyDescent="0.25">
      <c r="A3" s="9" t="s">
        <v>1565</v>
      </c>
      <c r="B3" t="s">
        <v>1554</v>
      </c>
    </row>
    <row r="4" spans="1:2" x14ac:dyDescent="0.25">
      <c r="A4" s="10" t="s">
        <v>161</v>
      </c>
      <c r="B4" s="6">
        <v>5.0632911392405063E-2</v>
      </c>
    </row>
    <row r="5" spans="1:2" x14ac:dyDescent="0.25">
      <c r="A5" s="10" t="s">
        <v>60</v>
      </c>
      <c r="B5" s="6">
        <v>0.56118143459915615</v>
      </c>
    </row>
    <row r="6" spans="1:2" x14ac:dyDescent="0.25">
      <c r="A6" s="10" t="s">
        <v>48</v>
      </c>
      <c r="B6" s="6">
        <v>0.3881856540084388</v>
      </c>
    </row>
    <row r="7" spans="1:2" x14ac:dyDescent="0.25">
      <c r="A7" s="10" t="s">
        <v>1566</v>
      </c>
      <c r="B7" s="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B6C23-62FD-4126-9CA4-BF0B0BD11BAA}">
  <dimension ref="A3:B9"/>
  <sheetViews>
    <sheetView workbookViewId="0">
      <selection activeCell="B7" sqref="B7"/>
    </sheetView>
  </sheetViews>
  <sheetFormatPr defaultRowHeight="15.75" x14ac:dyDescent="0.25"/>
  <cols>
    <col min="1" max="1" width="12.375" bestFit="1" customWidth="1"/>
    <col min="2" max="2" width="24.125" bestFit="1" customWidth="1"/>
    <col min="3" max="43" width="15.25" bestFit="1" customWidth="1"/>
    <col min="44" max="44" width="11" bestFit="1" customWidth="1"/>
  </cols>
  <sheetData>
    <row r="3" spans="1:2" x14ac:dyDescent="0.25">
      <c r="A3" s="9" t="s">
        <v>1565</v>
      </c>
      <c r="B3" t="s">
        <v>1567</v>
      </c>
    </row>
    <row r="4" spans="1:2" x14ac:dyDescent="0.25">
      <c r="A4" s="10" t="s">
        <v>69</v>
      </c>
      <c r="B4" s="12">
        <v>112</v>
      </c>
    </row>
    <row r="5" spans="1:2" x14ac:dyDescent="0.25">
      <c r="A5" s="10" t="s">
        <v>46</v>
      </c>
      <c r="B5" s="12">
        <v>51</v>
      </c>
    </row>
    <row r="6" spans="1:2" x14ac:dyDescent="0.25">
      <c r="A6" s="10" t="s">
        <v>92</v>
      </c>
      <c r="B6" s="12">
        <v>38</v>
      </c>
    </row>
    <row r="7" spans="1:2" x14ac:dyDescent="0.25">
      <c r="A7" s="10" t="s">
        <v>58</v>
      </c>
      <c r="B7" s="12">
        <v>25</v>
      </c>
    </row>
    <row r="8" spans="1:2" x14ac:dyDescent="0.25">
      <c r="A8" s="10" t="s">
        <v>75</v>
      </c>
      <c r="B8" s="12">
        <v>11</v>
      </c>
    </row>
    <row r="9" spans="1:2" x14ac:dyDescent="0.25">
      <c r="A9" s="10" t="s">
        <v>1566</v>
      </c>
      <c r="B9" s="12">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CE447-5DC7-4536-A84C-FD81C6A416A3}">
  <dimension ref="A3:E7"/>
  <sheetViews>
    <sheetView workbookViewId="0">
      <selection activeCell="B5" sqref="B5"/>
    </sheetView>
  </sheetViews>
  <sheetFormatPr defaultRowHeight="15.75" x14ac:dyDescent="0.25"/>
  <cols>
    <col min="1" max="1" width="12.375" bestFit="1" customWidth="1"/>
    <col min="2" max="2" width="23.375" bestFit="1" customWidth="1"/>
    <col min="4" max="4" width="14.125" customWidth="1"/>
  </cols>
  <sheetData>
    <row r="3" spans="1:5" x14ac:dyDescent="0.25">
      <c r="A3" s="9" t="s">
        <v>1565</v>
      </c>
      <c r="B3" t="s">
        <v>1554</v>
      </c>
      <c r="D3" t="s">
        <v>1570</v>
      </c>
      <c r="E3" t="s">
        <v>0</v>
      </c>
    </row>
    <row r="4" spans="1:5" x14ac:dyDescent="0.25">
      <c r="A4" s="10" t="s">
        <v>79</v>
      </c>
      <c r="B4" s="12">
        <v>33</v>
      </c>
      <c r="D4" t="str">
        <f>A4</f>
        <v>Divorced</v>
      </c>
      <c r="E4">
        <f>GETPIVOTDATA("CF_attrition count",$A$3,"Marital Status",A4)</f>
        <v>33</v>
      </c>
    </row>
    <row r="5" spans="1:5" x14ac:dyDescent="0.25">
      <c r="A5" s="10" t="s">
        <v>64</v>
      </c>
      <c r="B5" s="12">
        <v>84</v>
      </c>
      <c r="D5" t="str">
        <f t="shared" ref="D5:D6" si="0">A5</f>
        <v>Married</v>
      </c>
      <c r="E5">
        <f t="shared" ref="E5:E6" si="1">GETPIVOTDATA("CF_attrition count",$A$3,"Marital Status",A5)</f>
        <v>84</v>
      </c>
    </row>
    <row r="6" spans="1:5" x14ac:dyDescent="0.25">
      <c r="A6" s="10" t="s">
        <v>53</v>
      </c>
      <c r="B6" s="12">
        <v>120</v>
      </c>
      <c r="D6" t="str">
        <f t="shared" si="0"/>
        <v>Single</v>
      </c>
      <c r="E6">
        <f t="shared" si="1"/>
        <v>120</v>
      </c>
    </row>
    <row r="7" spans="1:5" x14ac:dyDescent="0.25">
      <c r="A7" s="10" t="s">
        <v>1566</v>
      </c>
      <c r="B7" s="1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R1471"/>
  <sheetViews>
    <sheetView topLeftCell="A2" workbookViewId="0">
      <selection activeCell="D11" sqref="D1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20"/>
  <sheetViews>
    <sheetView showGridLines="0" tabSelected="1" topLeftCell="F2" zoomScale="75" zoomScaleNormal="75" workbookViewId="0">
      <selection activeCell="AB13" sqref="AB13"/>
    </sheetView>
  </sheetViews>
  <sheetFormatPr defaultColWidth="11.25" defaultRowHeight="15" customHeight="1" x14ac:dyDescent="0.25"/>
  <cols>
    <col min="1" max="21" width="8.5" style="7" customWidth="1"/>
    <col min="22" max="22" width="8.125" style="7" customWidth="1"/>
    <col min="23" max="26" width="8.5" style="7" customWidth="1"/>
    <col min="27" max="16384" width="11.25" style="7"/>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Job By Attrition </vt:lpstr>
      <vt:lpstr>Deparment Wise Attrition</vt:lpstr>
      <vt:lpstr>Attrition By Age</vt:lpstr>
      <vt:lpstr>Martial 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Mujtaba Ismailani</cp:lastModifiedBy>
  <dcterms:created xsi:type="dcterms:W3CDTF">2022-12-29T16:02:46Z</dcterms:created>
  <dcterms:modified xsi:type="dcterms:W3CDTF">2026-06-18T02:51:48Z</dcterms:modified>
</cp:coreProperties>
</file>